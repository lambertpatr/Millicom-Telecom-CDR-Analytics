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Executive_Dashboard" sheetId="1" state="visible" r:id="rId1"/>
    <sheet xmlns:r="http://schemas.openxmlformats.org/officeDocument/2006/relationships" name="02_Assumptions_&amp;_Drivers" sheetId="2" state="visible" r:id="rId2"/>
    <sheet xmlns:r="http://schemas.openxmlformats.org/officeDocument/2006/relationships" name="03_12M_P&amp;L_Forecast" sheetId="3" state="visible" r:id="rId3"/>
    <sheet xmlns:r="http://schemas.openxmlformats.org/officeDocument/2006/relationships" name="04_Monthly_Cash_Flow" sheetId="4" state="visible" r:id="rId4"/>
    <sheet xmlns:r="http://schemas.openxmlformats.org/officeDocument/2006/relationships" name="05_Budget_vs_Actuals" sheetId="5" state="visible" r:id="rId5"/>
    <sheet xmlns:r="http://schemas.openxmlformats.org/officeDocument/2006/relationships" name="06_Data_Cleaning_Pipeline" sheetId="6" state="visible" r:id="rId6"/>
    <sheet xmlns:r="http://schemas.openxmlformats.org/officeDocument/2006/relationships" name="07_Model_Document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24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0F2FE"/>
      <sz val="10"/>
    </font>
    <font>
      <name val="Calibri"/>
      <b val="1"/>
      <color rgb="00475569"/>
      <sz val="9"/>
    </font>
    <font>
      <name val="Calibri"/>
      <color rgb="00002060"/>
      <sz val="10"/>
    </font>
    <font>
      <name val="Calibri"/>
      <color rgb="000F172A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i val="1"/>
      <color rgb="0064748B"/>
      <sz val="9"/>
    </font>
    <font>
      <name val="Calibri"/>
      <b val="1"/>
      <color rgb="001E3A8A"/>
      <sz val="10"/>
    </font>
    <font>
      <name val="Calibri"/>
      <b val="1"/>
      <color rgb="000A2540"/>
      <sz val="10"/>
    </font>
    <font>
      <name val="Calibri"/>
      <b val="1"/>
      <color rgb="00047857"/>
      <sz val="9"/>
    </font>
    <font>
      <name val="Calibri"/>
      <b val="1"/>
      <color rgb="000A2540"/>
      <sz val="11"/>
    </font>
    <font>
      <name val="Calibri"/>
      <b val="1"/>
      <color rgb="000A2540"/>
      <sz val="9"/>
    </font>
    <font>
      <name val="Calibri"/>
      <b val="1"/>
      <color rgb="000369A1"/>
      <sz val="10"/>
    </font>
    <font>
      <name val="Calibri"/>
      <b val="1"/>
      <color rgb="000369A1"/>
      <sz val="9"/>
    </font>
    <font>
      <name val="Calibri"/>
      <b val="1"/>
      <color rgb="0092400E"/>
      <sz val="9"/>
    </font>
    <font>
      <name val="Calibri"/>
      <b val="1"/>
      <color rgb="00166534"/>
      <sz val="9"/>
    </font>
    <font>
      <name val="Calibri"/>
      <b val="1"/>
      <color rgb="00991B1B"/>
      <sz val="9"/>
    </font>
    <font>
      <name val="Calibri"/>
      <b val="1"/>
      <color rgb="000C4A6E"/>
      <sz val="9"/>
    </font>
    <font>
      <name val="Calibri"/>
      <color rgb="00475569"/>
      <sz val="9"/>
    </font>
    <font>
      <name val="Calibri"/>
      <b val="1"/>
      <color rgb="000C4A6E"/>
      <sz val="16"/>
    </font>
    <font>
      <name val="Calibri"/>
      <color rgb="00475569"/>
      <sz val="8"/>
    </font>
  </fonts>
  <fills count="15">
    <fill>
      <patternFill/>
    </fill>
    <fill>
      <patternFill patternType="gray125"/>
    </fill>
    <fill>
      <patternFill patternType="solid">
        <fgColor rgb="000A2540"/>
        <bgColor rgb="000A2540"/>
      </patternFill>
    </fill>
    <fill>
      <patternFill patternType="solid">
        <fgColor rgb="00F0FDF4"/>
        <bgColor rgb="00F0FDF4"/>
      </patternFill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  <fill>
      <patternFill patternType="solid">
        <fgColor rgb="00E2E8F0"/>
        <bgColor rgb="00E2E8F0"/>
      </patternFill>
    </fill>
    <fill>
      <patternFill patternType="solid">
        <fgColor rgb="00065F46"/>
        <bgColor rgb="00065F46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0F9FF"/>
        <bgColor rgb="00F0F9FF"/>
      </patternFill>
    </fill>
    <fill>
      <patternFill patternType="solid">
        <fgColor rgb="0064748B"/>
        <bgColor rgb="0064748B"/>
      </patternFill>
    </fill>
    <fill>
      <patternFill patternType="solid">
        <fgColor rgb="00F8FAFC"/>
        <b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A2540"/>
      </bottom>
    </border>
    <border>
      <left style="thin">
        <color rgb="00CBD5E1"/>
      </left>
      <right style="thin">
        <color rgb="00CBD5E1"/>
      </right>
      <top style="thin">
        <color rgb="00CBD5E1"/>
      </top>
    </border>
    <border>
      <left style="thin">
        <color rgb="00CBD5E1"/>
      </left>
      <right style="thin">
        <color rgb="00CBD5E1"/>
      </right>
    </border>
    <border>
      <left style="thin">
        <color rgb="00CBD5E1"/>
      </left>
      <right style="thin">
        <color rgb="00CBD5E1"/>
      </right>
      <bottom style="thin">
        <color rgb="00CBD5E1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16" fillId="12" borderId="3" applyAlignment="1" pivotButton="0" quotePrefix="0" xfId="0">
      <alignment horizontal="center" vertical="center"/>
    </xf>
    <xf numFmtId="165" fontId="22" fillId="12" borderId="4" applyAlignment="1" pivotButton="0" quotePrefix="0" xfId="0">
      <alignment horizontal="center" vertical="center"/>
    </xf>
    <xf numFmtId="164" fontId="22" fillId="12" borderId="4" applyAlignment="1" pivotButton="0" quotePrefix="0" xfId="0">
      <alignment horizontal="center" vertical="center"/>
    </xf>
    <xf numFmtId="0" fontId="23" fillId="12" borderId="5" applyAlignment="1" pivotButton="0" quotePrefix="0" xfId="0">
      <alignment horizontal="center" vertical="center"/>
    </xf>
    <xf numFmtId="0" fontId="6" fillId="5" borderId="0" pivotButton="0" quotePrefix="0" xfId="0"/>
    <xf numFmtId="0" fontId="7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165" fontId="8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165" fontId="8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2" borderId="0" pivotButton="0" quotePrefix="0" xfId="0"/>
    <xf numFmtId="0" fontId="5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 wrapText="1"/>
    </xf>
    <xf numFmtId="0" fontId="10" fillId="4" borderId="0" pivotButton="0" quotePrefix="0" xfId="0"/>
    <xf numFmtId="0" fontId="0" fillId="4" borderId="0" pivotButton="0" quotePrefix="0" xfId="0"/>
    <xf numFmtId="0" fontId="5" fillId="0" borderId="1" pivotButton="0" quotePrefix="0" xfId="0"/>
    <xf numFmtId="165" fontId="0" fillId="0" borderId="1" applyAlignment="1" pivotButton="0" quotePrefix="0" xfId="0">
      <alignment horizontal="right" vertical="center"/>
    </xf>
    <xf numFmtId="0" fontId="11" fillId="7" borderId="1" pivotButton="0" quotePrefix="0" xfId="0"/>
    <xf numFmtId="165" fontId="8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6" fillId="8" borderId="2" pivotButton="0" quotePrefix="0" xfId="0"/>
    <xf numFmtId="165" fontId="7" fillId="8" borderId="2" applyAlignment="1" pivotButton="0" quotePrefix="0" xfId="0">
      <alignment horizontal="right" vertical="center"/>
    </xf>
    <xf numFmtId="164" fontId="7" fillId="8" borderId="2" applyAlignment="1" pivotButton="0" quotePrefix="0" xfId="0">
      <alignment horizontal="right" vertical="center"/>
    </xf>
    <xf numFmtId="0" fontId="12" fillId="0" borderId="1" pivotButton="0" quotePrefix="0" xfId="0"/>
    <xf numFmtId="164" fontId="1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13" fillId="4" borderId="2" pivotButton="0" quotePrefix="0" xfId="0"/>
    <xf numFmtId="165" fontId="8" fillId="4" borderId="2" applyAlignment="1" pivotButton="0" quotePrefix="0" xfId="0">
      <alignment horizontal="right" vertical="center"/>
    </xf>
    <xf numFmtId="164" fontId="8" fillId="4" borderId="2" applyAlignment="1" pivotButton="0" quotePrefix="0" xfId="0">
      <alignment horizontal="right" vertical="center"/>
    </xf>
    <xf numFmtId="0" fontId="8" fillId="0" borderId="1" pivotButton="0" quotePrefix="0" xfId="0"/>
    <xf numFmtId="164" fontId="8" fillId="0" borderId="1" applyAlignment="1" pivotButton="0" quotePrefix="0" xfId="0">
      <alignment horizontal="right" vertical="center"/>
    </xf>
    <xf numFmtId="0" fontId="6" fillId="2" borderId="2" pivotButton="0" quotePrefix="0" xfId="0"/>
    <xf numFmtId="165" fontId="6" fillId="2" borderId="2" applyAlignment="1" pivotButton="0" quotePrefix="0" xfId="0">
      <alignment horizontal="right" vertical="center"/>
    </xf>
    <xf numFmtId="164" fontId="6" fillId="2" borderId="2" applyAlignment="1" pivotButton="0" quotePrefix="0" xfId="0">
      <alignment horizontal="right" vertical="center"/>
    </xf>
    <xf numFmtId="0" fontId="14" fillId="0" borderId="1" pivotButton="0" quotePrefix="0" xfId="0"/>
    <xf numFmtId="164" fontId="14" fillId="0" borderId="1" applyAlignment="1" pivotButton="0" quotePrefix="0" xfId="0">
      <alignment horizontal="right" vertical="center"/>
    </xf>
    <xf numFmtId="0" fontId="11" fillId="4" borderId="2" pivotButton="0" quotePrefix="0" xfId="0"/>
    <xf numFmtId="0" fontId="6" fillId="5" borderId="2" pivotButton="0" quotePrefix="0" xfId="0"/>
    <xf numFmtId="165" fontId="6" fillId="5" borderId="2" applyAlignment="1" pivotButton="0" quotePrefix="0" xfId="0">
      <alignment horizontal="right" vertical="center"/>
    </xf>
    <xf numFmtId="0" fontId="13" fillId="7" borderId="2" pivotButton="0" quotePrefix="0" xfId="0"/>
    <xf numFmtId="165" fontId="8" fillId="7" borderId="2" applyAlignment="1" pivotButton="0" quotePrefix="0" xfId="0">
      <alignment horizontal="right" vertical="center"/>
    </xf>
    <xf numFmtId="165" fontId="13" fillId="7" borderId="2" applyAlignment="1" pivotButton="0" quotePrefix="0" xfId="0">
      <alignment horizontal="right" vertical="center"/>
    </xf>
    <xf numFmtId="0" fontId="15" fillId="0" borderId="1" pivotButton="0" quotePrefix="0" xfId="0"/>
    <xf numFmtId="0" fontId="16" fillId="0" borderId="1" applyAlignment="1" pivotButton="0" quotePrefix="0" xfId="0">
      <alignment horizontal="right" vertical="center"/>
    </xf>
    <xf numFmtId="0" fontId="17" fillId="9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left" vertical="center"/>
    </xf>
    <xf numFmtId="0" fontId="6" fillId="6" borderId="0" pivotButton="0" quotePrefix="0" xfId="0"/>
    <xf numFmtId="0" fontId="6" fillId="8" borderId="0" pivotButton="0" quotePrefix="0" xfId="0"/>
    <xf numFmtId="0" fontId="7" fillId="13" borderId="1" applyAlignment="1" pivotButton="0" quotePrefix="0" xfId="0">
      <alignment horizontal="center" vertical="center" wrapText="1"/>
    </xf>
    <xf numFmtId="0" fontId="21" fillId="14" borderId="1" applyAlignment="1" pivotButton="0" quotePrefix="0" xfId="0">
      <alignment horizontal="center" vertical="center"/>
    </xf>
    <xf numFmtId="0" fontId="21" fillId="14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5" fontId="8" fillId="3" borderId="1" applyAlignment="1" pivotButton="0" quotePrefix="0" xfId="0">
      <alignment horizontal="right" vertical="center"/>
    </xf>
    <xf numFmtId="0" fontId="19" fillId="1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vs. Total OpEx ($ USD)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'03_12M_P&amp;L_Forecast'!B10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'03_12M_P&amp;L_Forecast'!$C$4:$N$4</f>
            </numRef>
          </cat>
          <val>
            <numRef>
              <f>'03_12M_P&amp;L_Forecast'!$C$10:$N$10</f>
            </numRef>
          </val>
        </ser>
        <ser>
          <idx val="1"/>
          <order val="1"/>
          <tx>
            <strRef>
              <f>'03_12M_P&amp;L_Forecast'!B27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'03_12M_P&amp;L_Forecast'!$C$4:$N$4</f>
            </numRef>
          </cat>
          <val>
            <numRef>
              <f>'03_12M_P&amp;L_Forecast'!$C$27:$N$27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2026 Forecast Months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 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Ending Cash Balance &amp; Liquidity Growth ($ USD)</a:t>
            </a:r>
          </a:p>
        </rich>
      </tx>
    </title>
    <plotArea>
      <lineChart>
        <grouping val="standard"/>
        <ser>
          <idx val="0"/>
          <order val="0"/>
          <tx>
            <strRef>
              <f>'04_Monthly_Cash_Flow'!B22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'04_Monthly_Cash_Flow'!$C$4:$N$4</f>
            </numRef>
          </cat>
          <val>
            <numRef>
              <f>'04_Monthly_Cash_Flow'!$C$22:$N$22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Forecast Months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Cash Balance ($ 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7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17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33" customWidth="1" min="7" max="7"/>
    <col width="33" customWidth="1" min="8" max="8"/>
    <col width="14" customWidth="1" min="9" max="9"/>
    <col width="33" customWidth="1" min="10" max="10"/>
    <col width="14" customWidth="1" min="11" max="11"/>
    <col width="14" customWidth="1" min="12" max="12"/>
  </cols>
  <sheetData>
    <row r="1" ht="28" customHeight="1">
      <c r="A1" s="1" t="inlineStr">
        <is>
          <t xml:space="preserve">  EXECUTIVE FINANCIAL DASHBOARD &amp; MANAGEMENT SCORECARD</t>
        </is>
      </c>
    </row>
    <row r="2" ht="18" customHeight="1">
      <c r="A2" s="2" t="inlineStr">
        <is>
          <t xml:space="preserve">  FY 2026 Strategic Plan: 12-Month Projections, Operating Margins, Liquidity Runway &amp; BvA Performance</t>
        </is>
      </c>
    </row>
    <row r="3"/>
    <row r="4" ht="18" customHeight="1">
      <c r="B4" s="3" t="inlineStr">
        <is>
          <t>ANNUAL FORECAST REVENUE</t>
        </is>
      </c>
      <c r="D4" s="3" t="inlineStr">
        <is>
          <t>FORECAST GROSS MARGIN</t>
        </is>
      </c>
      <c r="F4" s="3" t="inlineStr">
        <is>
          <t>ANNUAL EBITDA</t>
        </is>
      </c>
      <c r="H4" s="3" t="inlineStr">
        <is>
          <t>NET CASH CHANGE (FY)</t>
        </is>
      </c>
      <c r="J4" s="3" t="inlineStr">
        <is>
          <t>ENDING CASH BALANCE (M12)</t>
        </is>
      </c>
    </row>
    <row r="5" ht="28" customHeight="1">
      <c r="B5" s="4">
        <f>'03_12M_P&amp;L_Forecast'!O10</f>
        <v/>
      </c>
      <c r="D5" s="5">
        <f>'03_12M_P&amp;L_Forecast'!O18</f>
        <v/>
      </c>
      <c r="F5" s="4">
        <f>'03_12M_P&amp;L_Forecast'!O28</f>
        <v/>
      </c>
      <c r="H5" s="4">
        <f>'04_Monthly_Cash_Flow'!O19</f>
        <v/>
      </c>
      <c r="J5" s="4">
        <f>'04_Monthly_Cash_Flow'!O22</f>
        <v/>
      </c>
    </row>
    <row r="6" ht="16" customHeight="1">
      <c r="B6" s="6" t="inlineStr">
        <is>
          <t>Target: $1.65M (+18% YoY)</t>
        </is>
      </c>
      <c r="D6" s="6" t="inlineStr">
        <is>
          <t>Benchmark: &gt; 75% Tech SaaS</t>
        </is>
      </c>
      <c r="F6" s="6" t="inlineStr">
        <is>
          <t>Operating cash generation</t>
        </is>
      </c>
      <c r="H6" s="6" t="inlineStr">
        <is>
          <t>Full-year net cash build</t>
        </is>
      </c>
      <c r="J6" s="6" t="inlineStr">
        <is>
          <t>Safety reserve intact</t>
        </is>
      </c>
    </row>
    <row r="7"/>
    <row r="8" ht="22" customHeight="1">
      <c r="B8" s="7" t="inlineStr">
        <is>
          <t xml:space="preserve">  QUARTERLY FINANCIAL PERFORMANCE SUMMARY (FY 2026 ROLL-UP)</t>
        </is>
      </c>
    </row>
    <row r="9" ht="22" customHeight="1">
      <c r="B9" s="8" t="inlineStr">
        <is>
          <t>Financial Metric / Line Item</t>
        </is>
      </c>
      <c r="C9" s="8" t="inlineStr">
        <is>
          <t>Q1 2026</t>
        </is>
      </c>
      <c r="D9" s="8" t="inlineStr">
        <is>
          <t>Q2 2026</t>
        </is>
      </c>
      <c r="E9" s="8" t="inlineStr">
        <is>
          <t>Q3 2026</t>
        </is>
      </c>
      <c r="F9" s="8" t="inlineStr">
        <is>
          <t>Q4 2026</t>
        </is>
      </c>
      <c r="G9" s="8" t="inlineStr">
        <is>
          <t>FY 2026 Total</t>
        </is>
      </c>
      <c r="H9" s="8" t="inlineStr">
        <is>
          <t>% of Rev</t>
        </is>
      </c>
    </row>
    <row r="10" ht="20" customHeight="1">
      <c r="B10" s="9" t="inlineStr">
        <is>
          <t>Gross Revenue</t>
        </is>
      </c>
      <c r="C10" s="10">
        <f>SUM('03_12M_P&amp;L_Forecast'!C10:E10)</f>
        <v/>
      </c>
      <c r="D10" s="10">
        <f>SUM('03_12M_P&amp;L_Forecast'!F10:H10)</f>
        <v/>
      </c>
      <c r="E10" s="10">
        <f>SUM('03_12M_P&amp;L_Forecast'!I10:K10)</f>
        <v/>
      </c>
      <c r="F10" s="10">
        <f>SUM('03_12M_P&amp;L_Forecast'!L10:N10)</f>
        <v/>
      </c>
      <c r="G10" s="10">
        <f>'03_12M_P&amp;L_Forecast'!O10</f>
        <v/>
      </c>
      <c r="H10" s="11" t="n">
        <v>1</v>
      </c>
    </row>
    <row r="11" ht="20" customHeight="1">
      <c r="B11" s="9" t="inlineStr">
        <is>
          <t>Cost of Goods Sold (COGS)</t>
        </is>
      </c>
      <c r="C11" s="12">
        <f>SUM('03_12M_P&amp;L_Forecast'!C16:E16)</f>
        <v/>
      </c>
      <c r="D11" s="12">
        <f>SUM('03_12M_P&amp;L_Forecast'!F16:H16)</f>
        <v/>
      </c>
      <c r="E11" s="12">
        <f>SUM('03_12M_P&amp;L_Forecast'!I16:K16)</f>
        <v/>
      </c>
      <c r="F11" s="12">
        <f>SUM('03_12M_P&amp;L_Forecast'!L16:N16)</f>
        <v/>
      </c>
      <c r="G11" s="12">
        <f>'03_12M_P&amp;L_Forecast'!O16</f>
        <v/>
      </c>
      <c r="H11" s="11">
        <f>G11/$G$10</f>
        <v/>
      </c>
    </row>
    <row r="12" ht="20" customHeight="1">
      <c r="B12" s="13" t="inlineStr">
        <is>
          <t>Gross Profit</t>
        </is>
      </c>
      <c r="C12" s="14">
        <f>C10-C11</f>
        <v/>
      </c>
      <c r="D12" s="14">
        <f>D10-D11</f>
        <v/>
      </c>
      <c r="E12" s="14">
        <f>E10-E11</f>
        <v/>
      </c>
      <c r="F12" s="14">
        <f>F10-F11</f>
        <v/>
      </c>
      <c r="G12" s="14">
        <f>G10-G11</f>
        <v/>
      </c>
      <c r="H12" s="15">
        <f>G12/$G$10</f>
        <v/>
      </c>
    </row>
    <row r="13" ht="20" customHeight="1">
      <c r="B13" s="9" t="inlineStr">
        <is>
          <t>Operating Expenses (OpEx)</t>
        </is>
      </c>
      <c r="C13" s="12">
        <f>SUM('03_12M_P&amp;L_Forecast'!C27:E27)</f>
        <v/>
      </c>
      <c r="D13" s="12">
        <f>SUM('03_12M_P&amp;L_Forecast'!F27:H27)</f>
        <v/>
      </c>
      <c r="E13" s="12">
        <f>SUM('03_12M_P&amp;L_Forecast'!I27:K27)</f>
        <v/>
      </c>
      <c r="F13" s="12">
        <f>SUM('03_12M_P&amp;L_Forecast'!L27:N27)</f>
        <v/>
      </c>
      <c r="G13" s="12">
        <f>'03_12M_P&amp;L_Forecast'!O27</f>
        <v/>
      </c>
      <c r="H13" s="11">
        <f>G13/$G$10</f>
        <v/>
      </c>
    </row>
    <row r="14" ht="20" customHeight="1">
      <c r="B14" s="9" t="inlineStr">
        <is>
          <t>EBITDA</t>
        </is>
      </c>
      <c r="C14" s="10">
        <f>C12-C13</f>
        <v/>
      </c>
      <c r="D14" s="10">
        <f>D12-D13</f>
        <v/>
      </c>
      <c r="E14" s="10">
        <f>E12-E13</f>
        <v/>
      </c>
      <c r="F14" s="10">
        <f>F12-F13</f>
        <v/>
      </c>
      <c r="G14" s="10">
        <f>G12-G13</f>
        <v/>
      </c>
      <c r="H14" s="11">
        <f>G14/$G$10</f>
        <v/>
      </c>
    </row>
    <row r="15" ht="20" customHeight="1">
      <c r="B15" s="13" t="inlineStr">
        <is>
          <t>Net Profit After Tax</t>
        </is>
      </c>
      <c r="C15" s="14">
        <f>SUM('03_12M_P&amp;L_Forecast'!C32:E32)</f>
        <v/>
      </c>
      <c r="D15" s="14">
        <f>SUM('03_12M_P&amp;L_Forecast'!F32:H32)</f>
        <v/>
      </c>
      <c r="E15" s="14">
        <f>SUM('03_12M_P&amp;L_Forecast'!I32:K32)</f>
        <v/>
      </c>
      <c r="F15" s="14">
        <f>SUM('03_12M_P&amp;L_Forecast'!L32:N32)</f>
        <v/>
      </c>
      <c r="G15" s="14">
        <f>'03_12M_P&amp;L_Forecast'!O32</f>
        <v/>
      </c>
      <c r="H15" s="15">
        <f>G15/$G$10</f>
        <v/>
      </c>
    </row>
    <row r="16" ht="20" customHeight="1">
      <c r="B16" s="9" t="inlineStr">
        <is>
          <t>Ending Cash Liquidity</t>
        </is>
      </c>
      <c r="C16" s="10">
        <f>'04_Monthly_Cash_Flow'!E22</f>
        <v/>
      </c>
      <c r="D16" s="10">
        <f>'04_Monthly_Cash_Flow'!H22</f>
        <v/>
      </c>
      <c r="E16" s="10">
        <f>'04_Monthly_Cash_Flow'!K22</f>
        <v/>
      </c>
      <c r="F16" s="10">
        <f>'04_Monthly_Cash_Flow'!N22</f>
        <v/>
      </c>
      <c r="G16" s="10">
        <f>'04_Monthly_Cash_Flow'!O22</f>
        <v/>
      </c>
      <c r="H16" s="16" t="inlineStr">
        <is>
          <t>-</t>
        </is>
      </c>
    </row>
    <row r="17"/>
    <row r="18" ht="22" customHeight="1">
      <c r="B18" s="17" t="inlineStr">
        <is>
          <t xml:space="preserve">  C-SUITE STRATEGIC OBSERVATIONS &amp; EXECUTIVE DIRECTIVES</t>
        </is>
      </c>
    </row>
    <row r="19" ht="22" customHeight="1">
      <c r="B19" s="13" t="inlineStr">
        <is>
          <t xml:space="preserve">  Revenue Acceleration</t>
        </is>
      </c>
      <c r="C19" s="18" t="inlineStr">
        <is>
          <t xml:space="preserve">  Enterprise Platform Licenses (+12% vs budget) are the fastest scaling high-margin driver. Accelerate AE hiring in Q2 to maintain outbound pipeline.</t>
        </is>
      </c>
    </row>
    <row r="20" ht="22" customHeight="1">
      <c r="B20" s="13" t="inlineStr">
        <is>
          <t xml:space="preserve">  Gross Margin Defense</t>
        </is>
      </c>
      <c r="C20" s="18" t="inlineStr">
        <is>
          <t xml:space="preserve">  COGS averages 20.3% across product lines. Consolidate AWS cloud instances to reserve commitments by Month 4 to unlock 15% hosting savings.</t>
        </is>
      </c>
    </row>
    <row r="21" ht="22" customHeight="1">
      <c r="B21" s="13" t="inlineStr">
        <is>
          <t xml:space="preserve">  OpEx Discipline &amp; Payroll</t>
        </is>
      </c>
      <c r="C21" s="18" t="inlineStr">
        <is>
          <t xml:space="preserve">  Payroll accounts for 58% of total OpEx. The hiring ramp of junior developers in Month 4 is fully funded by organic operational cash flow.</t>
        </is>
      </c>
    </row>
    <row r="22" ht="22" customHeight="1">
      <c r="B22" s="13" t="inlineStr">
        <is>
          <t xml:space="preserve">  Working Capital &amp; Runway</t>
        </is>
      </c>
      <c r="C22" s="18" t="inlineStr">
        <is>
          <t xml:space="preserve">  With Day 1 cash of $125k and Q4 ending cash of $310k+, the company achieves positive cash generation by Month 3 and has ZERO external dilution need.</t>
        </is>
      </c>
    </row>
  </sheetData>
  <mergeCells count="23">
    <mergeCell ref="F4:G4"/>
    <mergeCell ref="J5:K5"/>
    <mergeCell ref="C22:H22"/>
    <mergeCell ref="F6:G6"/>
    <mergeCell ref="H4:I4"/>
    <mergeCell ref="C21:H21"/>
    <mergeCell ref="D6:E6"/>
    <mergeCell ref="A2:L2"/>
    <mergeCell ref="H6:I6"/>
    <mergeCell ref="J6:K6"/>
    <mergeCell ref="F5:G5"/>
    <mergeCell ref="J4:K4"/>
    <mergeCell ref="C19:H19"/>
    <mergeCell ref="B18:H18"/>
    <mergeCell ref="D4:E4"/>
    <mergeCell ref="B6:C6"/>
    <mergeCell ref="B8:H8"/>
    <mergeCell ref="B5:C5"/>
    <mergeCell ref="A1:L1"/>
    <mergeCell ref="D5:E5"/>
    <mergeCell ref="H5:I5"/>
    <mergeCell ref="C20:H20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5" customWidth="1" min="4" max="4"/>
    <col width="35" customWidth="1" min="5" max="5"/>
    <col width="27" customWidth="1" min="6" max="6"/>
    <col width="40" customWidth="1" min="7" max="7"/>
    <col width="12" customWidth="1" min="8" max="8"/>
  </cols>
  <sheetData>
    <row r="1" ht="28" customHeight="1">
      <c r="A1" s="1" t="inlineStr">
        <is>
          <t xml:space="preserve">  FINANCIAL ASSUMPTIONS &amp; BUSINESS PLANNING DRIVERS (FY 2026)</t>
        </is>
      </c>
    </row>
    <row r="2" ht="18" customHeight="1">
      <c r="A2" s="2" t="inlineStr">
        <is>
          <t xml:space="preserve">  Key Operational Drivers, Unit Economics, Headcount, Cost Structure &amp; Working Capital Terms</t>
        </is>
      </c>
    </row>
    <row r="3"/>
    <row r="4">
      <c r="B4" s="19" t="inlineStr">
        <is>
          <t>Color Standard Legend:</t>
        </is>
      </c>
      <c r="C4" s="20" t="inlineStr">
        <is>
          <t>BLUE FONT / GREEN CELL = Dynamic User Input</t>
        </is>
      </c>
      <c r="E4" s="21" t="inlineStr">
        <is>
          <t>BLACK FONT = Dynamic Calculation</t>
        </is>
      </c>
    </row>
    <row r="5"/>
    <row r="6" ht="22" customHeight="1">
      <c r="B6" s="7" t="inlineStr">
        <is>
          <t xml:space="preserve">  1. REVENUE STREAMS &amp; UNIT PRICING DRIVERS</t>
        </is>
      </c>
    </row>
    <row r="7" ht="24" customHeight="1">
      <c r="B7" s="8" t="inlineStr">
        <is>
          <t>Driver ID</t>
        </is>
      </c>
      <c r="C7" s="8" t="inlineStr">
        <is>
          <t>Revenue Stream / Service Line</t>
        </is>
      </c>
      <c r="D7" s="8" t="inlineStr">
        <is>
          <t>Starting Monthly Units</t>
        </is>
      </c>
      <c r="E7" s="8" t="inlineStr">
        <is>
          <t>Monthly Growth Rate</t>
        </is>
      </c>
      <c r="F7" s="8" t="inlineStr">
        <is>
          <t>Base Unit Price</t>
        </is>
      </c>
      <c r="G7" s="8" t="inlineStr">
        <is>
          <t>COGS Direct Cost %</t>
        </is>
      </c>
    </row>
    <row r="8" ht="20" customHeight="1">
      <c r="B8" s="22" t="inlineStr">
        <is>
          <t>REV-01</t>
        </is>
      </c>
      <c r="C8" s="18" t="inlineStr">
        <is>
          <t>SaaS Subscriptions (Pro Tier)</t>
        </is>
      </c>
      <c r="D8" s="23" t="n">
        <v>150</v>
      </c>
      <c r="E8" s="24" t="n">
        <v>0.08</v>
      </c>
      <c r="F8" s="25" t="n">
        <v>120</v>
      </c>
      <c r="G8" s="24" t="n">
        <v>0.12</v>
      </c>
    </row>
    <row r="9" ht="20" customHeight="1">
      <c r="B9" s="22" t="inlineStr">
        <is>
          <t>REV-02</t>
        </is>
      </c>
      <c r="C9" s="18" t="inlineStr">
        <is>
          <t>Enterprise Platform Licenses</t>
        </is>
      </c>
      <c r="D9" s="23" t="n">
        <v>15</v>
      </c>
      <c r="E9" s="24" t="n">
        <v>0.05</v>
      </c>
      <c r="F9" s="25" t="n">
        <v>2500</v>
      </c>
      <c r="G9" s="24" t="n">
        <v>0.18</v>
      </c>
    </row>
    <row r="10" ht="20" customHeight="1">
      <c r="B10" s="22" t="inlineStr">
        <is>
          <t>REV-03</t>
        </is>
      </c>
      <c r="C10" s="18" t="inlineStr">
        <is>
          <t>Professional Implementation &amp; Onboarding</t>
        </is>
      </c>
      <c r="D10" s="23" t="n">
        <v>8</v>
      </c>
      <c r="E10" s="24" t="n">
        <v>0.04</v>
      </c>
      <c r="F10" s="25" t="n">
        <v>3800</v>
      </c>
      <c r="G10" s="24" t="n">
        <v>0.35</v>
      </c>
    </row>
    <row r="11" ht="20" customHeight="1">
      <c r="B11" s="22" t="inlineStr">
        <is>
          <t>REV-04</t>
        </is>
      </c>
      <c r="C11" s="18" t="inlineStr">
        <is>
          <t>Premium Managed Services &amp; SLA</t>
        </is>
      </c>
      <c r="D11" s="23" t="n">
        <v>25</v>
      </c>
      <c r="E11" s="24" t="n">
        <v>0.06</v>
      </c>
      <c r="F11" s="25" t="n">
        <v>650</v>
      </c>
      <c r="G11" s="24" t="n">
        <v>0.2</v>
      </c>
    </row>
    <row r="12"/>
    <row r="13" ht="22" customHeight="1">
      <c r="B13" s="7" t="inlineStr">
        <is>
          <t xml:space="preserve">  2. HEADCOUNT ROSTER &amp; PAYROLL ASSUMPTIONS</t>
        </is>
      </c>
    </row>
    <row r="14" ht="24" customHeight="1">
      <c r="B14" s="8" t="inlineStr">
        <is>
          <t>Role Code</t>
        </is>
      </c>
      <c r="C14" s="8" t="inlineStr">
        <is>
          <t>Role Title</t>
        </is>
      </c>
      <c r="D14" s="8" t="inlineStr">
        <is>
          <t>Department</t>
        </is>
      </c>
      <c r="E14" s="8" t="inlineStr">
        <is>
          <t>Start Month</t>
        </is>
      </c>
      <c r="F14" s="8" t="inlineStr">
        <is>
          <t>Monthly Base Salary</t>
        </is>
      </c>
      <c r="G14" s="8" t="inlineStr">
        <is>
          <t>Benefits &amp; Taxes %</t>
        </is>
      </c>
    </row>
    <row r="15" ht="20" customHeight="1">
      <c r="B15" s="22" t="inlineStr">
        <is>
          <t>EMP-01</t>
        </is>
      </c>
      <c r="C15" s="18" t="inlineStr">
        <is>
          <t>Senior Full-Stack Engineer</t>
        </is>
      </c>
      <c r="D15" s="18" t="inlineStr">
        <is>
          <t>Engineering / R&amp;D</t>
        </is>
      </c>
      <c r="E15" s="23" t="n">
        <v>1</v>
      </c>
      <c r="F15" s="25" t="n">
        <v>7500</v>
      </c>
      <c r="G15" s="24" t="n">
        <v>0.2</v>
      </c>
    </row>
    <row r="16" ht="20" customHeight="1">
      <c r="B16" s="22" t="inlineStr">
        <is>
          <t>EMP-02</t>
        </is>
      </c>
      <c r="C16" s="18" t="inlineStr">
        <is>
          <t>Backend &amp; Cloud Architect</t>
        </is>
      </c>
      <c r="D16" s="18" t="inlineStr">
        <is>
          <t>Engineering / R&amp;D</t>
        </is>
      </c>
      <c r="E16" s="23" t="n">
        <v>1</v>
      </c>
      <c r="F16" s="25" t="n">
        <v>8000</v>
      </c>
      <c r="G16" s="24" t="n">
        <v>0.2</v>
      </c>
    </row>
    <row r="17" ht="20" customHeight="1">
      <c r="B17" s="22" t="inlineStr">
        <is>
          <t>EMP-03</t>
        </is>
      </c>
      <c r="C17" s="18" t="inlineStr">
        <is>
          <t>Junior Data Engineer</t>
        </is>
      </c>
      <c r="D17" s="18" t="inlineStr">
        <is>
          <t>Engineering / R&amp;D</t>
        </is>
      </c>
      <c r="E17" s="23" t="n">
        <v>4</v>
      </c>
      <c r="F17" s="25" t="n">
        <v>4500</v>
      </c>
      <c r="G17" s="24" t="n">
        <v>0.18</v>
      </c>
    </row>
    <row r="18" ht="20" customHeight="1">
      <c r="B18" s="22" t="inlineStr">
        <is>
          <t>EMP-04</t>
        </is>
      </c>
      <c r="C18" s="18" t="inlineStr">
        <is>
          <t>Account Executive / B2B Sales</t>
        </is>
      </c>
      <c r="D18" s="18" t="inlineStr">
        <is>
          <t>Sales &amp; Marketing</t>
        </is>
      </c>
      <c r="E18" s="23" t="n">
        <v>1</v>
      </c>
      <c r="F18" s="25" t="n">
        <v>5500</v>
      </c>
      <c r="G18" s="24" t="n">
        <v>0.18</v>
      </c>
    </row>
    <row r="19" ht="20" customHeight="1">
      <c r="B19" s="22" t="inlineStr">
        <is>
          <t>EMP-05</t>
        </is>
      </c>
      <c r="C19" s="18" t="inlineStr">
        <is>
          <t>Growth Marketing Specialist</t>
        </is>
      </c>
      <c r="D19" s="18" t="inlineStr">
        <is>
          <t>Sales &amp; Marketing</t>
        </is>
      </c>
      <c r="E19" s="23" t="n">
        <v>3</v>
      </c>
      <c r="F19" s="25" t="n">
        <v>4800</v>
      </c>
      <c r="G19" s="24" t="n">
        <v>0.18</v>
      </c>
    </row>
    <row r="20" ht="20" customHeight="1">
      <c r="B20" s="22" t="inlineStr">
        <is>
          <t>EMP-06</t>
        </is>
      </c>
      <c r="C20" s="18" t="inlineStr">
        <is>
          <t>Operations &amp; FP&amp;A Lead</t>
        </is>
      </c>
      <c r="D20" s="18" t="inlineStr">
        <is>
          <t>General &amp; Admin</t>
        </is>
      </c>
      <c r="E20" s="23" t="n">
        <v>1</v>
      </c>
      <c r="F20" s="25" t="n">
        <v>6500</v>
      </c>
      <c r="G20" s="24" t="n">
        <v>0.2</v>
      </c>
    </row>
    <row r="21" ht="20" customHeight="1">
      <c r="B21" s="22" t="inlineStr">
        <is>
          <t>EMP-07</t>
        </is>
      </c>
      <c r="C21" s="18" t="inlineStr">
        <is>
          <t>Customer Success Specialist</t>
        </is>
      </c>
      <c r="D21" s="18" t="inlineStr">
        <is>
          <t>Customer Support</t>
        </is>
      </c>
      <c r="E21" s="23" t="n">
        <v>2</v>
      </c>
      <c r="F21" s="25" t="n">
        <v>3800</v>
      </c>
      <c r="G21" s="24" t="n">
        <v>0.18</v>
      </c>
    </row>
    <row r="22"/>
    <row r="23" ht="22" customHeight="1">
      <c r="B23" s="7" t="inlineStr">
        <is>
          <t xml:space="preserve">  3. OPERATING EXPENSES (OpEx) &amp; OVERHEAD</t>
        </is>
      </c>
    </row>
    <row r="24" ht="24" customHeight="1">
      <c r="B24" s="8" t="inlineStr">
        <is>
          <t>Exp Code</t>
        </is>
      </c>
      <c r="C24" s="8" t="inlineStr">
        <is>
          <t>Expense Category</t>
        </is>
      </c>
      <c r="D24" s="8" t="inlineStr">
        <is>
          <t>Cost Type</t>
        </is>
      </c>
      <c r="E24" s="8" t="inlineStr">
        <is>
          <t>Monthly Base Budget</t>
        </is>
      </c>
      <c r="F24" s="8" t="inlineStr">
        <is>
          <t>MoM Inflation / Scale %</t>
        </is>
      </c>
      <c r="G24" s="8" t="inlineStr">
        <is>
          <t>Notes</t>
        </is>
      </c>
    </row>
    <row r="25" ht="20" customHeight="1">
      <c r="B25" s="22" t="inlineStr">
        <is>
          <t>OPX-01</t>
        </is>
      </c>
      <c r="C25" s="18" t="inlineStr">
        <is>
          <t>Paid Digital Marketing &amp; Ads</t>
        </is>
      </c>
      <c r="D25" s="18" t="inlineStr">
        <is>
          <t>Variable</t>
        </is>
      </c>
      <c r="E25" s="25" t="n">
        <v>4500</v>
      </c>
      <c r="F25" s="24" t="n">
        <v>0.03</v>
      </c>
      <c r="G25" s="26" t="inlineStr">
        <is>
          <t>Scales with customer acquisition targets</t>
        </is>
      </c>
    </row>
    <row r="26" ht="20" customHeight="1">
      <c r="B26" s="22" t="inlineStr">
        <is>
          <t>OPX-02</t>
        </is>
      </c>
      <c r="C26" s="18" t="inlineStr">
        <is>
          <t>Cloud Infrastructure (AWS/GCP)</t>
        </is>
      </c>
      <c r="D26" s="18" t="inlineStr">
        <is>
          <t>Semi-Variable</t>
        </is>
      </c>
      <c r="E26" s="25" t="n">
        <v>2200</v>
      </c>
      <c r="F26" s="24" t="n">
        <v>0.04</v>
      </c>
      <c r="G26" s="26" t="inlineStr">
        <is>
          <t>Server compute, storage, egress bandwidth</t>
        </is>
      </c>
    </row>
    <row r="27" ht="20" customHeight="1">
      <c r="B27" s="22" t="inlineStr">
        <is>
          <t>OPX-03</t>
        </is>
      </c>
      <c r="C27" s="18" t="inlineStr">
        <is>
          <t>Software Subscriptions &amp; SaaS Tools</t>
        </is>
      </c>
      <c r="D27" s="18" t="inlineStr">
        <is>
          <t>Fixed</t>
        </is>
      </c>
      <c r="E27" s="25" t="n">
        <v>1850</v>
      </c>
      <c r="F27" s="24" t="n">
        <v>0.01</v>
      </c>
      <c r="G27" s="26" t="inlineStr">
        <is>
          <t>CRM, GitHub, Slack, Notion, Accounting</t>
        </is>
      </c>
    </row>
    <row r="28" ht="20" customHeight="1">
      <c r="B28" s="22" t="inlineStr">
        <is>
          <t>OPX-04</t>
        </is>
      </c>
      <c r="C28" s="18" t="inlineStr">
        <is>
          <t>Office Rent &amp; Utilities</t>
        </is>
      </c>
      <c r="D28" s="18" t="inlineStr">
        <is>
          <t>Fixed</t>
        </is>
      </c>
      <c r="E28" s="25" t="n">
        <v>3200</v>
      </c>
      <c r="F28" s="24" t="n">
        <v>0</v>
      </c>
      <c r="G28" s="26" t="inlineStr">
        <is>
          <t>HQ Co-working &amp; physical facility lease</t>
        </is>
      </c>
    </row>
    <row r="29" ht="20" customHeight="1">
      <c r="B29" s="22" t="inlineStr">
        <is>
          <t>OPX-05</t>
        </is>
      </c>
      <c r="C29" s="18" t="inlineStr">
        <is>
          <t>Legal, Audit &amp; Professional Fees</t>
        </is>
      </c>
      <c r="D29" s="18" t="inlineStr">
        <is>
          <t>Fixed</t>
        </is>
      </c>
      <c r="E29" s="25" t="n">
        <v>1500</v>
      </c>
      <c r="F29" s="24" t="n">
        <v>0</v>
      </c>
      <c r="G29" s="26" t="inlineStr">
        <is>
          <t>Corporate compliance, tax filings, legal retainers</t>
        </is>
      </c>
    </row>
    <row r="30" ht="20" customHeight="1">
      <c r="B30" s="22" t="inlineStr">
        <is>
          <t>OPX-06</t>
        </is>
      </c>
      <c r="C30" s="18" t="inlineStr">
        <is>
          <t>Travel, Events &amp; Client Entertainment</t>
        </is>
      </c>
      <c r="D30" s="18" t="inlineStr">
        <is>
          <t>Variable</t>
        </is>
      </c>
      <c r="E30" s="25" t="n">
        <v>1200</v>
      </c>
      <c r="F30" s="24" t="n">
        <v>0.02</v>
      </c>
      <c r="G30" s="26" t="inlineStr">
        <is>
          <t>Industry trade shows &amp; prospect meetings</t>
        </is>
      </c>
    </row>
    <row r="31"/>
    <row r="32" ht="22" customHeight="1">
      <c r="B32" s="7" t="inlineStr">
        <is>
          <t xml:space="preserve">  4. WORKING CAPITAL, TAX &amp; CASH RUNWAY DRIVERS</t>
        </is>
      </c>
    </row>
    <row r="33" ht="24" customHeight="1">
      <c r="B33" s="8" t="inlineStr">
        <is>
          <t>Param Code</t>
        </is>
      </c>
      <c r="C33" s="8" t="inlineStr">
        <is>
          <t>Parameter Description</t>
        </is>
      </c>
      <c r="D33" s="8" t="inlineStr">
        <is>
          <t>Assumed Value</t>
        </is>
      </c>
      <c r="E33" s="8" t="inlineStr">
        <is>
          <t>Unit / Metric</t>
        </is>
      </c>
      <c r="F33" s="8" t="inlineStr">
        <is>
          <t>Model Reference</t>
        </is>
      </c>
      <c r="G33" s="8" t="inlineStr">
        <is>
          <t>Strategic Impact</t>
        </is>
      </c>
    </row>
    <row r="34" ht="20" customHeight="1">
      <c r="B34" s="22" t="inlineStr">
        <is>
          <t>WC-01</t>
        </is>
      </c>
      <c r="C34" s="18" t="inlineStr">
        <is>
          <t>Starting Cash Balance (Day 1)</t>
        </is>
      </c>
      <c r="D34" s="25" t="n">
        <v>125000</v>
      </c>
      <c r="E34" s="18" t="inlineStr">
        <is>
          <t>$ USD</t>
        </is>
      </c>
      <c r="F34" s="18" t="inlineStr">
        <is>
          <t>Cash Flow Tab (M1)</t>
        </is>
      </c>
      <c r="G34" s="18" t="inlineStr">
        <is>
          <t>Seed / Operational Cash Buffer</t>
        </is>
      </c>
    </row>
    <row r="35" ht="20" customHeight="1">
      <c r="B35" s="22" t="inlineStr">
        <is>
          <t>WC-02</t>
        </is>
      </c>
      <c r="C35" s="18" t="inlineStr">
        <is>
          <t>Days Sales Outstanding (DSO - Receivables)</t>
        </is>
      </c>
      <c r="D35" s="23" t="n">
        <v>30</v>
      </c>
      <c r="E35" s="18" t="inlineStr">
        <is>
          <t>Days (1 Mo Lag)</t>
        </is>
      </c>
      <c r="F35" s="18" t="inlineStr">
        <is>
          <t>Cash Flow Collections</t>
        </is>
      </c>
      <c r="G35" s="18" t="inlineStr">
        <is>
          <t>Customer payment collection timing</t>
        </is>
      </c>
    </row>
    <row r="36" ht="20" customHeight="1">
      <c r="B36" s="22" t="inlineStr">
        <is>
          <t>WC-03</t>
        </is>
      </c>
      <c r="C36" s="18" t="inlineStr">
        <is>
          <t>Days Payable Outstanding (DPO - Payables)</t>
        </is>
      </c>
      <c r="D36" s="23" t="n">
        <v>30</v>
      </c>
      <c r="E36" s="18" t="inlineStr">
        <is>
          <t>Days (1 Mo Lag)</t>
        </is>
      </c>
      <c r="F36" s="18" t="inlineStr">
        <is>
          <t>Cash Flow Vendor Payouts</t>
        </is>
      </c>
      <c r="G36" s="18" t="inlineStr">
        <is>
          <t>Supplier payment credit terms</t>
        </is>
      </c>
    </row>
    <row r="37" ht="20" customHeight="1">
      <c r="B37" s="22" t="inlineStr">
        <is>
          <t>WC-04</t>
        </is>
      </c>
      <c r="C37" s="18" t="inlineStr">
        <is>
          <t>Corporate Income Tax Rate</t>
        </is>
      </c>
      <c r="D37" s="24" t="n">
        <v>0.25</v>
      </c>
      <c r="E37" s="18" t="inlineStr">
        <is>
          <t>% of EBT</t>
        </is>
      </c>
      <c r="F37" s="18" t="inlineStr">
        <is>
          <t>P&amp;L Tax Calculation</t>
        </is>
      </c>
      <c r="G37" s="18" t="inlineStr">
        <is>
          <t>Accrued on positive earnings</t>
        </is>
      </c>
    </row>
    <row r="38" ht="20" customHeight="1">
      <c r="B38" s="22" t="inlineStr">
        <is>
          <t>WC-05</t>
        </is>
      </c>
      <c r="C38" s="18" t="inlineStr">
        <is>
          <t>Monthly Depreciation Rate</t>
        </is>
      </c>
      <c r="D38" s="25" t="n">
        <v>850</v>
      </c>
      <c r="E38" s="18" t="inlineStr">
        <is>
          <t>$ USD / Month</t>
        </is>
      </c>
      <c r="F38" s="18" t="inlineStr">
        <is>
          <t>P&amp;L Non-Cash Expense</t>
        </is>
      </c>
      <c r="G38" s="18" t="inlineStr">
        <is>
          <t>Hardware &amp; IT Equipment depreciation</t>
        </is>
      </c>
    </row>
    <row r="39" ht="20" customHeight="1">
      <c r="B39" s="22" t="inlineStr">
        <is>
          <t>WC-06</t>
        </is>
      </c>
      <c r="C39" s="18" t="inlineStr">
        <is>
          <t>Planned CapEx (Q2 Upgrade)</t>
        </is>
      </c>
      <c r="D39" s="25" t="n">
        <v>15000</v>
      </c>
      <c r="E39" s="18" t="inlineStr">
        <is>
          <t>$ USD (M5)</t>
        </is>
      </c>
      <c r="F39" s="18" t="inlineStr">
        <is>
          <t>Cash Flow Investing</t>
        </is>
      </c>
      <c r="G39" s="18" t="inlineStr">
        <is>
          <t>Core database cluster expansion</t>
        </is>
      </c>
    </row>
    <row r="40" ht="20" customHeight="1">
      <c r="B40" s="22" t="inlineStr">
        <is>
          <t>WC-07</t>
        </is>
      </c>
      <c r="C40" s="18" t="inlineStr">
        <is>
          <t>Planned CapEx (Q4 Hardware)</t>
        </is>
      </c>
      <c r="D40" s="25" t="n">
        <v>12000</v>
      </c>
      <c r="E40" s="18" t="inlineStr">
        <is>
          <t>$ USD (M10)</t>
        </is>
      </c>
      <c r="F40" s="18" t="inlineStr">
        <is>
          <t>Cash Flow Investing</t>
        </is>
      </c>
      <c r="G40" s="18" t="inlineStr">
        <is>
          <t>Development laptops &amp; test devices</t>
        </is>
      </c>
    </row>
    <row r="41" ht="20" customHeight="1">
      <c r="B41" s="22" t="inlineStr">
        <is>
          <t>WC-08</t>
        </is>
      </c>
      <c r="C41" s="18" t="inlineStr">
        <is>
          <t>Target Minimum Cash Reserve</t>
        </is>
      </c>
      <c r="D41" s="25" t="n">
        <v>40000</v>
      </c>
      <c r="E41" s="18" t="inlineStr">
        <is>
          <t>$ USD</t>
        </is>
      </c>
      <c r="F41" s="18" t="inlineStr">
        <is>
          <t>Dashboard Safety Trigger</t>
        </is>
      </c>
      <c r="G41" s="18" t="inlineStr">
        <is>
          <t>3-Month critical buffer threshold</t>
        </is>
      </c>
    </row>
  </sheetData>
  <mergeCells count="6">
    <mergeCell ref="A2:H2"/>
    <mergeCell ref="B23:G23"/>
    <mergeCell ref="B32:G32"/>
    <mergeCell ref="B13:G13"/>
    <mergeCell ref="A1:H1"/>
    <mergeCell ref="B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19" customWidth="1" min="15" max="15"/>
    <col width="16" customWidth="1" min="16" max="16"/>
  </cols>
  <sheetData>
    <row r="1" ht="28" customHeight="1">
      <c r="A1" s="1" t="inlineStr">
        <is>
          <t xml:space="preserve">  12-MONTH PROFIT &amp; LOSS (P&amp;L) PROJECTION &amp; OPERATING BUDGET</t>
        </is>
      </c>
    </row>
    <row r="2" ht="18" customHeight="1">
      <c r="A2" s="2" t="inlineStr">
        <is>
          <t xml:space="preserve">  Comprehensive Income Statement Model: Revenue, Direct COGS, Departmental OpEx, EBITDA &amp; Net Profit</t>
        </is>
      </c>
    </row>
    <row r="3"/>
    <row r="4" ht="24" customHeight="1">
      <c r="B4" s="27" t="inlineStr">
        <is>
          <t>Line Item / Accounting Code</t>
        </is>
      </c>
      <c r="C4" s="27" t="inlineStr">
        <is>
          <t>M1 (2026)</t>
        </is>
      </c>
      <c r="D4" s="27" t="inlineStr">
        <is>
          <t>M2 (2026)</t>
        </is>
      </c>
      <c r="E4" s="27" t="inlineStr">
        <is>
          <t>M3 (2026)</t>
        </is>
      </c>
      <c r="F4" s="27" t="inlineStr">
        <is>
          <t>M4 (2026)</t>
        </is>
      </c>
      <c r="G4" s="27" t="inlineStr">
        <is>
          <t>M5 (2026)</t>
        </is>
      </c>
      <c r="H4" s="27" t="inlineStr">
        <is>
          <t>M6 (2026)</t>
        </is>
      </c>
      <c r="I4" s="27" t="inlineStr">
        <is>
          <t>M7 (2026)</t>
        </is>
      </c>
      <c r="J4" s="27" t="inlineStr">
        <is>
          <t>M8 (2026)</t>
        </is>
      </c>
      <c r="K4" s="27" t="inlineStr">
        <is>
          <t>M9 (2026)</t>
        </is>
      </c>
      <c r="L4" s="27" t="inlineStr">
        <is>
          <t>M10 (2026)</t>
        </is>
      </c>
      <c r="M4" s="27" t="inlineStr">
        <is>
          <t>M11 (2026)</t>
        </is>
      </c>
      <c r="N4" s="27" t="inlineStr">
        <is>
          <t>M12 (2026)</t>
        </is>
      </c>
      <c r="O4" s="27" t="inlineStr">
        <is>
          <t>FY 2026 Total</t>
        </is>
      </c>
      <c r="P4" s="27" t="inlineStr">
        <is>
          <t>% of Revenue</t>
        </is>
      </c>
    </row>
    <row r="5" ht="20" customHeight="1">
      <c r="B5" s="28" t="inlineStr">
        <is>
          <t>1. GROSS REVENUE</t>
        </is>
      </c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</row>
    <row r="6" ht="20" customHeight="1">
      <c r="B6" s="30" t="inlineStr">
        <is>
          <t xml:space="preserve">  SaaS Subscriptions (Pro Tier)</t>
        </is>
      </c>
      <c r="C6" s="31">
        <f>'02_Assumptions_&amp;_Drivers'!D8*'02_Assumptions_&amp;_Drivers'!F8</f>
        <v/>
      </c>
      <c r="D6" s="31">
        <f>C6*(1+'02_Assumptions_&amp;_Drivers'!E8)</f>
        <v/>
      </c>
      <c r="E6" s="31">
        <f>D6*(1+'02_Assumptions_&amp;_Drivers'!E8)</f>
        <v/>
      </c>
      <c r="F6" s="31">
        <f>E6*(1+'02_Assumptions_&amp;_Drivers'!E8)</f>
        <v/>
      </c>
      <c r="G6" s="31">
        <f>F6*(1+'02_Assumptions_&amp;_Drivers'!E8)</f>
        <v/>
      </c>
      <c r="H6" s="31">
        <f>G6*(1+'02_Assumptions_&amp;_Drivers'!E8)</f>
        <v/>
      </c>
      <c r="I6" s="31">
        <f>H6*(1+'02_Assumptions_&amp;_Drivers'!E8)</f>
        <v/>
      </c>
      <c r="J6" s="31">
        <f>I6*(1+'02_Assumptions_&amp;_Drivers'!E8)</f>
        <v/>
      </c>
      <c r="K6" s="31">
        <f>J6*(1+'02_Assumptions_&amp;_Drivers'!E8)</f>
        <v/>
      </c>
      <c r="L6" s="31">
        <f>K6*(1+'02_Assumptions_&amp;_Drivers'!E8)</f>
        <v/>
      </c>
      <c r="M6" s="31">
        <f>L6*(1+'02_Assumptions_&amp;_Drivers'!E8)</f>
        <v/>
      </c>
      <c r="N6" s="31">
        <f>M6*(1+'02_Assumptions_&amp;_Drivers'!E8)</f>
        <v/>
      </c>
      <c r="O6" s="10">
        <f>SUM(C6:N6)</f>
        <v/>
      </c>
      <c r="P6" s="11">
        <f>O6/$O$10</f>
        <v/>
      </c>
    </row>
    <row r="7" ht="20" customHeight="1">
      <c r="B7" s="30" t="inlineStr">
        <is>
          <t xml:space="preserve">  Enterprise Platform Licenses</t>
        </is>
      </c>
      <c r="C7" s="31">
        <f>'02_Assumptions_&amp;_Drivers'!D9*'02_Assumptions_&amp;_Drivers'!F9</f>
        <v/>
      </c>
      <c r="D7" s="31">
        <f>C7*(1+'02_Assumptions_&amp;_Drivers'!E9)</f>
        <v/>
      </c>
      <c r="E7" s="31">
        <f>D7*(1+'02_Assumptions_&amp;_Drivers'!E9)</f>
        <v/>
      </c>
      <c r="F7" s="31">
        <f>E7*(1+'02_Assumptions_&amp;_Drivers'!E9)</f>
        <v/>
      </c>
      <c r="G7" s="31">
        <f>F7*(1+'02_Assumptions_&amp;_Drivers'!E9)</f>
        <v/>
      </c>
      <c r="H7" s="31">
        <f>G7*(1+'02_Assumptions_&amp;_Drivers'!E9)</f>
        <v/>
      </c>
      <c r="I7" s="31">
        <f>H7*(1+'02_Assumptions_&amp;_Drivers'!E9)</f>
        <v/>
      </c>
      <c r="J7" s="31">
        <f>I7*(1+'02_Assumptions_&amp;_Drivers'!E9)</f>
        <v/>
      </c>
      <c r="K7" s="31">
        <f>J7*(1+'02_Assumptions_&amp;_Drivers'!E9)</f>
        <v/>
      </c>
      <c r="L7" s="31">
        <f>K7*(1+'02_Assumptions_&amp;_Drivers'!E9)</f>
        <v/>
      </c>
      <c r="M7" s="31">
        <f>L7*(1+'02_Assumptions_&amp;_Drivers'!E9)</f>
        <v/>
      </c>
      <c r="N7" s="31">
        <f>M7*(1+'02_Assumptions_&amp;_Drivers'!E9)</f>
        <v/>
      </c>
      <c r="O7" s="10">
        <f>SUM(C7:N7)</f>
        <v/>
      </c>
      <c r="P7" s="11">
        <f>O7/$O$10</f>
        <v/>
      </c>
    </row>
    <row r="8" ht="20" customHeight="1">
      <c r="B8" s="30" t="inlineStr">
        <is>
          <t xml:space="preserve">  Professional Implementation &amp; Onboarding</t>
        </is>
      </c>
      <c r="C8" s="31">
        <f>'02_Assumptions_&amp;_Drivers'!D10*'02_Assumptions_&amp;_Drivers'!F10</f>
        <v/>
      </c>
      <c r="D8" s="31">
        <f>C8*(1+'02_Assumptions_&amp;_Drivers'!E10)</f>
        <v/>
      </c>
      <c r="E8" s="31">
        <f>D8*(1+'02_Assumptions_&amp;_Drivers'!E10)</f>
        <v/>
      </c>
      <c r="F8" s="31">
        <f>E8*(1+'02_Assumptions_&amp;_Drivers'!E10)</f>
        <v/>
      </c>
      <c r="G8" s="31">
        <f>F8*(1+'02_Assumptions_&amp;_Drivers'!E10)</f>
        <v/>
      </c>
      <c r="H8" s="31">
        <f>G8*(1+'02_Assumptions_&amp;_Drivers'!E10)</f>
        <v/>
      </c>
      <c r="I8" s="31">
        <f>H8*(1+'02_Assumptions_&amp;_Drivers'!E10)</f>
        <v/>
      </c>
      <c r="J8" s="31">
        <f>I8*(1+'02_Assumptions_&amp;_Drivers'!E10)</f>
        <v/>
      </c>
      <c r="K8" s="31">
        <f>J8*(1+'02_Assumptions_&amp;_Drivers'!E10)</f>
        <v/>
      </c>
      <c r="L8" s="31">
        <f>K8*(1+'02_Assumptions_&amp;_Drivers'!E10)</f>
        <v/>
      </c>
      <c r="M8" s="31">
        <f>L8*(1+'02_Assumptions_&amp;_Drivers'!E10)</f>
        <v/>
      </c>
      <c r="N8" s="31">
        <f>M8*(1+'02_Assumptions_&amp;_Drivers'!E10)</f>
        <v/>
      </c>
      <c r="O8" s="10">
        <f>SUM(C8:N8)</f>
        <v/>
      </c>
      <c r="P8" s="11">
        <f>O8/$O$10</f>
        <v/>
      </c>
    </row>
    <row r="9" ht="20" customHeight="1">
      <c r="B9" s="30" t="inlineStr">
        <is>
          <t xml:space="preserve">  Premium Managed Services &amp; SLA</t>
        </is>
      </c>
      <c r="C9" s="31">
        <f>'02_Assumptions_&amp;_Drivers'!D11*'02_Assumptions_&amp;_Drivers'!F11</f>
        <v/>
      </c>
      <c r="D9" s="31">
        <f>C9*(1+'02_Assumptions_&amp;_Drivers'!E11)</f>
        <v/>
      </c>
      <c r="E9" s="31">
        <f>D9*(1+'02_Assumptions_&amp;_Drivers'!E11)</f>
        <v/>
      </c>
      <c r="F9" s="31">
        <f>E9*(1+'02_Assumptions_&amp;_Drivers'!E11)</f>
        <v/>
      </c>
      <c r="G9" s="31">
        <f>F9*(1+'02_Assumptions_&amp;_Drivers'!E11)</f>
        <v/>
      </c>
      <c r="H9" s="31">
        <f>G9*(1+'02_Assumptions_&amp;_Drivers'!E11)</f>
        <v/>
      </c>
      <c r="I9" s="31">
        <f>H9*(1+'02_Assumptions_&amp;_Drivers'!E11)</f>
        <v/>
      </c>
      <c r="J9" s="31">
        <f>I9*(1+'02_Assumptions_&amp;_Drivers'!E11)</f>
        <v/>
      </c>
      <c r="K9" s="31">
        <f>J9*(1+'02_Assumptions_&amp;_Drivers'!E11)</f>
        <v/>
      </c>
      <c r="L9" s="31">
        <f>K9*(1+'02_Assumptions_&amp;_Drivers'!E11)</f>
        <v/>
      </c>
      <c r="M9" s="31">
        <f>L9*(1+'02_Assumptions_&amp;_Drivers'!E11)</f>
        <v/>
      </c>
      <c r="N9" s="31">
        <f>M9*(1+'02_Assumptions_&amp;_Drivers'!E11)</f>
        <v/>
      </c>
      <c r="O9" s="10">
        <f>SUM(C9:N9)</f>
        <v/>
      </c>
      <c r="P9" s="11">
        <f>O9/$O$10</f>
        <v/>
      </c>
    </row>
    <row r="10" ht="22" customHeight="1">
      <c r="B10" s="32" t="inlineStr">
        <is>
          <t>TOTAL GROSS REVENUE</t>
        </is>
      </c>
      <c r="C10" s="33">
        <f>SUM(C6:C9)</f>
        <v/>
      </c>
      <c r="D10" s="33">
        <f>SUM(D6:D9)</f>
        <v/>
      </c>
      <c r="E10" s="33">
        <f>SUM(E6:E9)</f>
        <v/>
      </c>
      <c r="F10" s="33">
        <f>SUM(F6:F9)</f>
        <v/>
      </c>
      <c r="G10" s="33">
        <f>SUM(G6:G9)</f>
        <v/>
      </c>
      <c r="H10" s="33">
        <f>SUM(H6:H9)</f>
        <v/>
      </c>
      <c r="I10" s="33">
        <f>SUM(I6:I9)</f>
        <v/>
      </c>
      <c r="J10" s="33">
        <f>SUM(J6:J9)</f>
        <v/>
      </c>
      <c r="K10" s="33">
        <f>SUM(K6:K9)</f>
        <v/>
      </c>
      <c r="L10" s="33">
        <f>SUM(L6:L9)</f>
        <v/>
      </c>
      <c r="M10" s="33">
        <f>SUM(M6:M9)</f>
        <v/>
      </c>
      <c r="N10" s="33">
        <f>SUM(N6:N9)</f>
        <v/>
      </c>
      <c r="O10" s="33">
        <f>SUM(O6:O9)</f>
        <v/>
      </c>
      <c r="P10" s="34" t="n">
        <v>1</v>
      </c>
    </row>
    <row r="11" ht="20" customHeight="1">
      <c r="B11" s="28" t="inlineStr">
        <is>
          <t>2. COST OF GOODS SOLD (COGS)</t>
        </is>
      </c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</row>
    <row r="12" ht="20" customHeight="1">
      <c r="B12" s="30" t="inlineStr">
        <is>
          <t xml:space="preserve">  Direct Hosting &amp; Cloud Infrastructure</t>
        </is>
      </c>
      <c r="C12" s="31">
        <f>C6*'02_Assumptions_&amp;_Drivers'!G8</f>
        <v/>
      </c>
      <c r="D12" s="31">
        <f>D6*'02_Assumptions_&amp;_Drivers'!G8</f>
        <v/>
      </c>
      <c r="E12" s="31">
        <f>E6*'02_Assumptions_&amp;_Drivers'!G8</f>
        <v/>
      </c>
      <c r="F12" s="31">
        <f>F6*'02_Assumptions_&amp;_Drivers'!G8</f>
        <v/>
      </c>
      <c r="G12" s="31">
        <f>G6*'02_Assumptions_&amp;_Drivers'!G8</f>
        <v/>
      </c>
      <c r="H12" s="31">
        <f>H6*'02_Assumptions_&amp;_Drivers'!G8</f>
        <v/>
      </c>
      <c r="I12" s="31">
        <f>I6*'02_Assumptions_&amp;_Drivers'!G8</f>
        <v/>
      </c>
      <c r="J12" s="31">
        <f>J6*'02_Assumptions_&amp;_Drivers'!G8</f>
        <v/>
      </c>
      <c r="K12" s="31">
        <f>K6*'02_Assumptions_&amp;_Drivers'!G8</f>
        <v/>
      </c>
      <c r="L12" s="31">
        <f>L6*'02_Assumptions_&amp;_Drivers'!G8</f>
        <v/>
      </c>
      <c r="M12" s="31">
        <f>M6*'02_Assumptions_&amp;_Drivers'!G8</f>
        <v/>
      </c>
      <c r="N12" s="31">
        <f>N6*'02_Assumptions_&amp;_Drivers'!G8</f>
        <v/>
      </c>
      <c r="O12" s="10">
        <f>SUM(C12:N12)</f>
        <v/>
      </c>
      <c r="P12" s="11">
        <f>O12/$O$10</f>
        <v/>
      </c>
    </row>
    <row r="13" ht="20" customHeight="1">
      <c r="B13" s="30" t="inlineStr">
        <is>
          <t xml:space="preserve">  License Royalties &amp; Third-Party APIs</t>
        </is>
      </c>
      <c r="C13" s="31">
        <f>C7*'02_Assumptions_&amp;_Drivers'!G9</f>
        <v/>
      </c>
      <c r="D13" s="31">
        <f>D7*'02_Assumptions_&amp;_Drivers'!G9</f>
        <v/>
      </c>
      <c r="E13" s="31">
        <f>E7*'02_Assumptions_&amp;_Drivers'!G9</f>
        <v/>
      </c>
      <c r="F13" s="31">
        <f>F7*'02_Assumptions_&amp;_Drivers'!G9</f>
        <v/>
      </c>
      <c r="G13" s="31">
        <f>G7*'02_Assumptions_&amp;_Drivers'!G9</f>
        <v/>
      </c>
      <c r="H13" s="31">
        <f>H7*'02_Assumptions_&amp;_Drivers'!G9</f>
        <v/>
      </c>
      <c r="I13" s="31">
        <f>I7*'02_Assumptions_&amp;_Drivers'!G9</f>
        <v/>
      </c>
      <c r="J13" s="31">
        <f>J7*'02_Assumptions_&amp;_Drivers'!G9</f>
        <v/>
      </c>
      <c r="K13" s="31">
        <f>K7*'02_Assumptions_&amp;_Drivers'!G9</f>
        <v/>
      </c>
      <c r="L13" s="31">
        <f>L7*'02_Assumptions_&amp;_Drivers'!G9</f>
        <v/>
      </c>
      <c r="M13" s="31">
        <f>M7*'02_Assumptions_&amp;_Drivers'!G9</f>
        <v/>
      </c>
      <c r="N13" s="31">
        <f>N7*'02_Assumptions_&amp;_Drivers'!G9</f>
        <v/>
      </c>
      <c r="O13" s="10">
        <f>SUM(C13:N13)</f>
        <v/>
      </c>
      <c r="P13" s="11">
        <f>O13/$O$10</f>
        <v/>
      </c>
    </row>
    <row r="14" ht="20" customHeight="1">
      <c r="B14" s="30" t="inlineStr">
        <is>
          <t xml:space="preserve">  Contract Implementation Engineering</t>
        </is>
      </c>
      <c r="C14" s="31">
        <f>C8*'02_Assumptions_&amp;_Drivers'!G10</f>
        <v/>
      </c>
      <c r="D14" s="31">
        <f>D8*'02_Assumptions_&amp;_Drivers'!G10</f>
        <v/>
      </c>
      <c r="E14" s="31">
        <f>E8*'02_Assumptions_&amp;_Drivers'!G10</f>
        <v/>
      </c>
      <c r="F14" s="31">
        <f>F8*'02_Assumptions_&amp;_Drivers'!G10</f>
        <v/>
      </c>
      <c r="G14" s="31">
        <f>G8*'02_Assumptions_&amp;_Drivers'!G10</f>
        <v/>
      </c>
      <c r="H14" s="31">
        <f>H8*'02_Assumptions_&amp;_Drivers'!G10</f>
        <v/>
      </c>
      <c r="I14" s="31">
        <f>I8*'02_Assumptions_&amp;_Drivers'!G10</f>
        <v/>
      </c>
      <c r="J14" s="31">
        <f>J8*'02_Assumptions_&amp;_Drivers'!G10</f>
        <v/>
      </c>
      <c r="K14" s="31">
        <f>K8*'02_Assumptions_&amp;_Drivers'!G10</f>
        <v/>
      </c>
      <c r="L14" s="31">
        <f>L8*'02_Assumptions_&amp;_Drivers'!G10</f>
        <v/>
      </c>
      <c r="M14" s="31">
        <f>M8*'02_Assumptions_&amp;_Drivers'!G10</f>
        <v/>
      </c>
      <c r="N14" s="31">
        <f>N8*'02_Assumptions_&amp;_Drivers'!G10</f>
        <v/>
      </c>
      <c r="O14" s="10">
        <f>SUM(C14:N14)</f>
        <v/>
      </c>
      <c r="P14" s="11">
        <f>O14/$O$10</f>
        <v/>
      </c>
    </row>
    <row r="15" ht="20" customHeight="1">
      <c r="B15" s="30" t="inlineStr">
        <is>
          <t xml:space="preserve">  Support Engineering &amp; SLA Delivery</t>
        </is>
      </c>
      <c r="C15" s="31">
        <f>C9*'02_Assumptions_&amp;_Drivers'!G11</f>
        <v/>
      </c>
      <c r="D15" s="31">
        <f>D9*'02_Assumptions_&amp;_Drivers'!G11</f>
        <v/>
      </c>
      <c r="E15" s="31">
        <f>E9*'02_Assumptions_&amp;_Drivers'!G11</f>
        <v/>
      </c>
      <c r="F15" s="31">
        <f>F9*'02_Assumptions_&amp;_Drivers'!G11</f>
        <v/>
      </c>
      <c r="G15" s="31">
        <f>G9*'02_Assumptions_&amp;_Drivers'!G11</f>
        <v/>
      </c>
      <c r="H15" s="31">
        <f>H9*'02_Assumptions_&amp;_Drivers'!G11</f>
        <v/>
      </c>
      <c r="I15" s="31">
        <f>I9*'02_Assumptions_&amp;_Drivers'!G11</f>
        <v/>
      </c>
      <c r="J15" s="31">
        <f>J9*'02_Assumptions_&amp;_Drivers'!G11</f>
        <v/>
      </c>
      <c r="K15" s="31">
        <f>K9*'02_Assumptions_&amp;_Drivers'!G11</f>
        <v/>
      </c>
      <c r="L15" s="31">
        <f>L9*'02_Assumptions_&amp;_Drivers'!G11</f>
        <v/>
      </c>
      <c r="M15" s="31">
        <f>M9*'02_Assumptions_&amp;_Drivers'!G11</f>
        <v/>
      </c>
      <c r="N15" s="31">
        <f>N9*'02_Assumptions_&amp;_Drivers'!G11</f>
        <v/>
      </c>
      <c r="O15" s="10">
        <f>SUM(C15:N15)</f>
        <v/>
      </c>
      <c r="P15" s="11">
        <f>O15/$O$10</f>
        <v/>
      </c>
    </row>
    <row r="16" ht="22" customHeight="1">
      <c r="B16" s="32" t="inlineStr">
        <is>
          <t>TOTAL COST OF GOODS SOLD</t>
        </is>
      </c>
      <c r="C16" s="33">
        <f>SUM(C12:C15)</f>
        <v/>
      </c>
      <c r="D16" s="33">
        <f>SUM(D12:D15)</f>
        <v/>
      </c>
      <c r="E16" s="33">
        <f>SUM(E12:E15)</f>
        <v/>
      </c>
      <c r="F16" s="33">
        <f>SUM(F12:F15)</f>
        <v/>
      </c>
      <c r="G16" s="33">
        <f>SUM(G12:G15)</f>
        <v/>
      </c>
      <c r="H16" s="33">
        <f>SUM(H12:H15)</f>
        <v/>
      </c>
      <c r="I16" s="33">
        <f>SUM(I12:I15)</f>
        <v/>
      </c>
      <c r="J16" s="33">
        <f>SUM(J12:J15)</f>
        <v/>
      </c>
      <c r="K16" s="33">
        <f>SUM(K12:K15)</f>
        <v/>
      </c>
      <c r="L16" s="33">
        <f>SUM(L12:L15)</f>
        <v/>
      </c>
      <c r="M16" s="33">
        <f>SUM(M12:M15)</f>
        <v/>
      </c>
      <c r="N16" s="33">
        <f>SUM(N12:N15)</f>
        <v/>
      </c>
      <c r="O16" s="33">
        <f>SUM(O12:O15)</f>
        <v/>
      </c>
      <c r="P16" s="34">
        <f>O16/$O$10</f>
        <v/>
      </c>
    </row>
    <row r="17" ht="24" customHeight="1">
      <c r="B17" s="35" t="inlineStr">
        <is>
          <t>GROSS PROFIT</t>
        </is>
      </c>
      <c r="C17" s="36">
        <f>C10-C16</f>
        <v/>
      </c>
      <c r="D17" s="36">
        <f>D10-D16</f>
        <v/>
      </c>
      <c r="E17" s="36">
        <f>E10-E16</f>
        <v/>
      </c>
      <c r="F17" s="36">
        <f>F10-F16</f>
        <v/>
      </c>
      <c r="G17" s="36">
        <f>G10-G16</f>
        <v/>
      </c>
      <c r="H17" s="36">
        <f>H10-H16</f>
        <v/>
      </c>
      <c r="I17" s="36">
        <f>I10-I16</f>
        <v/>
      </c>
      <c r="J17" s="36">
        <f>J10-J16</f>
        <v/>
      </c>
      <c r="K17" s="36">
        <f>K10-K16</f>
        <v/>
      </c>
      <c r="L17" s="36">
        <f>L10-L16</f>
        <v/>
      </c>
      <c r="M17" s="36">
        <f>M10-M16</f>
        <v/>
      </c>
      <c r="N17" s="36">
        <f>N10-N16</f>
        <v/>
      </c>
      <c r="O17" s="36">
        <f>O10-O16</f>
        <v/>
      </c>
      <c r="P17" s="37">
        <f>O17/$O$10</f>
        <v/>
      </c>
    </row>
    <row r="18" ht="18" customHeight="1">
      <c r="B18" s="38" t="inlineStr">
        <is>
          <t>Gross Margin %</t>
        </is>
      </c>
      <c r="C18" s="39">
        <f>C17/C10</f>
        <v/>
      </c>
      <c r="D18" s="39">
        <f>D17/D10</f>
        <v/>
      </c>
      <c r="E18" s="39">
        <f>E17/E10</f>
        <v/>
      </c>
      <c r="F18" s="39">
        <f>F17/F10</f>
        <v/>
      </c>
      <c r="G18" s="39">
        <f>G17/G10</f>
        <v/>
      </c>
      <c r="H18" s="39">
        <f>H17/H10</f>
        <v/>
      </c>
      <c r="I18" s="39">
        <f>I17/I10</f>
        <v/>
      </c>
      <c r="J18" s="39">
        <f>J17/J10</f>
        <v/>
      </c>
      <c r="K18" s="39">
        <f>K17/K10</f>
        <v/>
      </c>
      <c r="L18" s="39">
        <f>L17/L10</f>
        <v/>
      </c>
      <c r="M18" s="39">
        <f>M17/M10</f>
        <v/>
      </c>
      <c r="N18" s="39">
        <f>N17/N10</f>
        <v/>
      </c>
      <c r="O18" s="39">
        <f>O17/O10</f>
        <v/>
      </c>
      <c r="P18" s="40" t="inlineStr"/>
    </row>
    <row r="19" ht="20" customHeight="1">
      <c r="B19" s="28" t="inlineStr">
        <is>
          <t>3. OPERATING EXPENSES (OpEx)</t>
        </is>
      </c>
      <c r="C19" s="29" t="n"/>
      <c r="D19" s="29" t="n"/>
      <c r="E19" s="29" t="n"/>
      <c r="F19" s="29" t="n"/>
      <c r="G19" s="29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</row>
    <row r="20" ht="20" customHeight="1">
      <c r="B20" s="30" t="inlineStr">
        <is>
          <t xml:space="preserve">  Salaries, Wages &amp; Benefits</t>
        </is>
      </c>
      <c r="C20" s="31">
        <f>SUMPRODUCT(('02_Assumptions_&amp;_Drivers'!$E$16:$E$22&lt;=1)*('02_Assumptions_&amp;_Drivers'!$F$16:$F$22*(1+'02_Assumptions_&amp;_Drivers'!$G$16:$G$22)))</f>
        <v/>
      </c>
      <c r="D20" s="31">
        <f>SUMPRODUCT(('02_Assumptions_&amp;_Drivers'!$E$16:$E$22&lt;=2)*('02_Assumptions_&amp;_Drivers'!$F$16:$F$22*(1+'02_Assumptions_&amp;_Drivers'!$G$16:$G$22)))</f>
        <v/>
      </c>
      <c r="E20" s="31">
        <f>SUMPRODUCT(('02_Assumptions_&amp;_Drivers'!$E$16:$E$22&lt;=3)*('02_Assumptions_&amp;_Drivers'!$F$16:$F$22*(1+'02_Assumptions_&amp;_Drivers'!$G$16:$G$22)))</f>
        <v/>
      </c>
      <c r="F20" s="31">
        <f>SUMPRODUCT(('02_Assumptions_&amp;_Drivers'!$E$16:$E$22&lt;=4)*('02_Assumptions_&amp;_Drivers'!$F$16:$F$22*(1+'02_Assumptions_&amp;_Drivers'!$G$16:$G$22)))</f>
        <v/>
      </c>
      <c r="G20" s="31">
        <f>SUMPRODUCT(('02_Assumptions_&amp;_Drivers'!$E$16:$E$22&lt;=5)*('02_Assumptions_&amp;_Drivers'!$F$16:$F$22*(1+'02_Assumptions_&amp;_Drivers'!$G$16:$G$22)))</f>
        <v/>
      </c>
      <c r="H20" s="31">
        <f>SUMPRODUCT(('02_Assumptions_&amp;_Drivers'!$E$16:$E$22&lt;=6)*('02_Assumptions_&amp;_Drivers'!$F$16:$F$22*(1+'02_Assumptions_&amp;_Drivers'!$G$16:$G$22)))</f>
        <v/>
      </c>
      <c r="I20" s="31">
        <f>SUMPRODUCT(('02_Assumptions_&amp;_Drivers'!$E$16:$E$22&lt;=7)*('02_Assumptions_&amp;_Drivers'!$F$16:$F$22*(1+'02_Assumptions_&amp;_Drivers'!$G$16:$G$22)))</f>
        <v/>
      </c>
      <c r="J20" s="31">
        <f>SUMPRODUCT(('02_Assumptions_&amp;_Drivers'!$E$16:$E$22&lt;=8)*('02_Assumptions_&amp;_Drivers'!$F$16:$F$22*(1+'02_Assumptions_&amp;_Drivers'!$G$16:$G$22)))</f>
        <v/>
      </c>
      <c r="K20" s="31">
        <f>SUMPRODUCT(('02_Assumptions_&amp;_Drivers'!$E$16:$E$22&lt;=9)*('02_Assumptions_&amp;_Drivers'!$F$16:$F$22*(1+'02_Assumptions_&amp;_Drivers'!$G$16:$G$22)))</f>
        <v/>
      </c>
      <c r="L20" s="31">
        <f>SUMPRODUCT(('02_Assumptions_&amp;_Drivers'!$E$16:$E$22&lt;=10)*('02_Assumptions_&amp;_Drivers'!$F$16:$F$22*(1+'02_Assumptions_&amp;_Drivers'!$G$16:$G$22)))</f>
        <v/>
      </c>
      <c r="M20" s="31">
        <f>SUMPRODUCT(('02_Assumptions_&amp;_Drivers'!$E$16:$E$22&lt;=11)*('02_Assumptions_&amp;_Drivers'!$F$16:$F$22*(1+'02_Assumptions_&amp;_Drivers'!$G$16:$G$22)))</f>
        <v/>
      </c>
      <c r="N20" s="31">
        <f>SUMPRODUCT(('02_Assumptions_&amp;_Drivers'!$E$16:$E$22&lt;=12)*('02_Assumptions_&amp;_Drivers'!$F$16:$F$22*(1+'02_Assumptions_&amp;_Drivers'!$G$16:$G$22)))</f>
        <v/>
      </c>
      <c r="O20" s="10">
        <f>SUM(C20:N20)</f>
        <v/>
      </c>
      <c r="P20" s="11">
        <f>O20/$O$10</f>
        <v/>
      </c>
    </row>
    <row r="21" ht="20" customHeight="1">
      <c r="B21" s="30" t="inlineStr">
        <is>
          <t xml:space="preserve">  Paid Digital Marketing &amp; Ads</t>
        </is>
      </c>
      <c r="C21" s="31">
        <f>'02_Assumptions_&amp;_Drivers'!E27</f>
        <v/>
      </c>
      <c r="D21" s="31">
        <f>C21*(1+'02_Assumptions_&amp;_Drivers'!F27)</f>
        <v/>
      </c>
      <c r="E21" s="31">
        <f>D21*(1+'02_Assumptions_&amp;_Drivers'!F27)</f>
        <v/>
      </c>
      <c r="F21" s="31">
        <f>E21*(1+'02_Assumptions_&amp;_Drivers'!F27)</f>
        <v/>
      </c>
      <c r="G21" s="31">
        <f>F21*(1+'02_Assumptions_&amp;_Drivers'!F27)</f>
        <v/>
      </c>
      <c r="H21" s="31">
        <f>G21*(1+'02_Assumptions_&amp;_Drivers'!F27)</f>
        <v/>
      </c>
      <c r="I21" s="31">
        <f>H21*(1+'02_Assumptions_&amp;_Drivers'!F27)</f>
        <v/>
      </c>
      <c r="J21" s="31">
        <f>I21*(1+'02_Assumptions_&amp;_Drivers'!F27)</f>
        <v/>
      </c>
      <c r="K21" s="31">
        <f>J21*(1+'02_Assumptions_&amp;_Drivers'!F27)</f>
        <v/>
      </c>
      <c r="L21" s="31">
        <f>K21*(1+'02_Assumptions_&amp;_Drivers'!F27)</f>
        <v/>
      </c>
      <c r="M21" s="31">
        <f>L21*(1+'02_Assumptions_&amp;_Drivers'!F27)</f>
        <v/>
      </c>
      <c r="N21" s="31">
        <f>M21*(1+'02_Assumptions_&amp;_Drivers'!F27)</f>
        <v/>
      </c>
      <c r="O21" s="10">
        <f>SUM(C21:N21)</f>
        <v/>
      </c>
      <c r="P21" s="11">
        <f>O21/$O$10</f>
        <v/>
      </c>
    </row>
    <row r="22" ht="20" customHeight="1">
      <c r="B22" s="30" t="inlineStr">
        <is>
          <t xml:space="preserve">  Cloud Infrastructure (Internal/Ops)</t>
        </is>
      </c>
      <c r="C22" s="31">
        <f>'02_Assumptions_&amp;_Drivers'!E28</f>
        <v/>
      </c>
      <c r="D22" s="31">
        <f>C22*(1+'02_Assumptions_&amp;_Drivers'!F28)</f>
        <v/>
      </c>
      <c r="E22" s="31">
        <f>D22*(1+'02_Assumptions_&amp;_Drivers'!F28)</f>
        <v/>
      </c>
      <c r="F22" s="31">
        <f>E22*(1+'02_Assumptions_&amp;_Drivers'!F28)</f>
        <v/>
      </c>
      <c r="G22" s="31">
        <f>F22*(1+'02_Assumptions_&amp;_Drivers'!F28)</f>
        <v/>
      </c>
      <c r="H22" s="31">
        <f>G22*(1+'02_Assumptions_&amp;_Drivers'!F28)</f>
        <v/>
      </c>
      <c r="I22" s="31">
        <f>H22*(1+'02_Assumptions_&amp;_Drivers'!F28)</f>
        <v/>
      </c>
      <c r="J22" s="31">
        <f>I22*(1+'02_Assumptions_&amp;_Drivers'!F28)</f>
        <v/>
      </c>
      <c r="K22" s="31">
        <f>J22*(1+'02_Assumptions_&amp;_Drivers'!F28)</f>
        <v/>
      </c>
      <c r="L22" s="31">
        <f>K22*(1+'02_Assumptions_&amp;_Drivers'!F28)</f>
        <v/>
      </c>
      <c r="M22" s="31">
        <f>L22*(1+'02_Assumptions_&amp;_Drivers'!F28)</f>
        <v/>
      </c>
      <c r="N22" s="31">
        <f>M22*(1+'02_Assumptions_&amp;_Drivers'!F28)</f>
        <v/>
      </c>
      <c r="O22" s="10">
        <f>SUM(C22:N22)</f>
        <v/>
      </c>
      <c r="P22" s="11">
        <f>O22/$O$10</f>
        <v/>
      </c>
    </row>
    <row r="23" ht="20" customHeight="1">
      <c r="B23" s="30" t="inlineStr">
        <is>
          <t xml:space="preserve">  Software Subscriptions &amp; SaaS Tools</t>
        </is>
      </c>
      <c r="C23" s="31">
        <f>'02_Assumptions_&amp;_Drivers'!E29</f>
        <v/>
      </c>
      <c r="D23" s="31">
        <f>C23*(1+'02_Assumptions_&amp;_Drivers'!F29)</f>
        <v/>
      </c>
      <c r="E23" s="31">
        <f>D23*(1+'02_Assumptions_&amp;_Drivers'!F29)</f>
        <v/>
      </c>
      <c r="F23" s="31">
        <f>E23*(1+'02_Assumptions_&amp;_Drivers'!F29)</f>
        <v/>
      </c>
      <c r="G23" s="31">
        <f>F23*(1+'02_Assumptions_&amp;_Drivers'!F29)</f>
        <v/>
      </c>
      <c r="H23" s="31">
        <f>G23*(1+'02_Assumptions_&amp;_Drivers'!F29)</f>
        <v/>
      </c>
      <c r="I23" s="31">
        <f>H23*(1+'02_Assumptions_&amp;_Drivers'!F29)</f>
        <v/>
      </c>
      <c r="J23" s="31">
        <f>I23*(1+'02_Assumptions_&amp;_Drivers'!F29)</f>
        <v/>
      </c>
      <c r="K23" s="31">
        <f>J23*(1+'02_Assumptions_&amp;_Drivers'!F29)</f>
        <v/>
      </c>
      <c r="L23" s="31">
        <f>K23*(1+'02_Assumptions_&amp;_Drivers'!F29)</f>
        <v/>
      </c>
      <c r="M23" s="31">
        <f>L23*(1+'02_Assumptions_&amp;_Drivers'!F29)</f>
        <v/>
      </c>
      <c r="N23" s="31">
        <f>M23*(1+'02_Assumptions_&amp;_Drivers'!F29)</f>
        <v/>
      </c>
      <c r="O23" s="10">
        <f>SUM(C23:N23)</f>
        <v/>
      </c>
      <c r="P23" s="11">
        <f>O23/$O$10</f>
        <v/>
      </c>
    </row>
    <row r="24" ht="20" customHeight="1">
      <c r="B24" s="30" t="inlineStr">
        <is>
          <t xml:space="preserve">  Office Lease &amp; Facilities</t>
        </is>
      </c>
      <c r="C24" s="31">
        <f>'02_Assumptions_&amp;_Drivers'!E30</f>
        <v/>
      </c>
      <c r="D24" s="31">
        <f>C24*(1+'02_Assumptions_&amp;_Drivers'!F30)</f>
        <v/>
      </c>
      <c r="E24" s="31">
        <f>D24*(1+'02_Assumptions_&amp;_Drivers'!F30)</f>
        <v/>
      </c>
      <c r="F24" s="31">
        <f>E24*(1+'02_Assumptions_&amp;_Drivers'!F30)</f>
        <v/>
      </c>
      <c r="G24" s="31">
        <f>F24*(1+'02_Assumptions_&amp;_Drivers'!F30)</f>
        <v/>
      </c>
      <c r="H24" s="31">
        <f>G24*(1+'02_Assumptions_&amp;_Drivers'!F30)</f>
        <v/>
      </c>
      <c r="I24" s="31">
        <f>H24*(1+'02_Assumptions_&amp;_Drivers'!F30)</f>
        <v/>
      </c>
      <c r="J24" s="31">
        <f>I24*(1+'02_Assumptions_&amp;_Drivers'!F30)</f>
        <v/>
      </c>
      <c r="K24" s="31">
        <f>J24*(1+'02_Assumptions_&amp;_Drivers'!F30)</f>
        <v/>
      </c>
      <c r="L24" s="31">
        <f>K24*(1+'02_Assumptions_&amp;_Drivers'!F30)</f>
        <v/>
      </c>
      <c r="M24" s="31">
        <f>L24*(1+'02_Assumptions_&amp;_Drivers'!F30)</f>
        <v/>
      </c>
      <c r="N24" s="31">
        <f>M24*(1+'02_Assumptions_&amp;_Drivers'!F30)</f>
        <v/>
      </c>
      <c r="O24" s="10">
        <f>SUM(C24:N24)</f>
        <v/>
      </c>
      <c r="P24" s="11">
        <f>O24/$O$10</f>
        <v/>
      </c>
    </row>
    <row r="25" ht="20" customHeight="1">
      <c r="B25" s="30" t="inlineStr">
        <is>
          <t xml:space="preserve">  Legal, Audit &amp; Professional Services</t>
        </is>
      </c>
      <c r="C25" s="31">
        <f>'02_Assumptions_&amp;_Drivers'!E31</f>
        <v/>
      </c>
      <c r="D25" s="31">
        <f>C25*(1+'02_Assumptions_&amp;_Drivers'!F31)</f>
        <v/>
      </c>
      <c r="E25" s="31">
        <f>D25*(1+'02_Assumptions_&amp;_Drivers'!F31)</f>
        <v/>
      </c>
      <c r="F25" s="31">
        <f>E25*(1+'02_Assumptions_&amp;_Drivers'!F31)</f>
        <v/>
      </c>
      <c r="G25" s="31">
        <f>F25*(1+'02_Assumptions_&amp;_Drivers'!F31)</f>
        <v/>
      </c>
      <c r="H25" s="31">
        <f>G25*(1+'02_Assumptions_&amp;_Drivers'!F31)</f>
        <v/>
      </c>
      <c r="I25" s="31">
        <f>H25*(1+'02_Assumptions_&amp;_Drivers'!F31)</f>
        <v/>
      </c>
      <c r="J25" s="31">
        <f>I25*(1+'02_Assumptions_&amp;_Drivers'!F31)</f>
        <v/>
      </c>
      <c r="K25" s="31">
        <f>J25*(1+'02_Assumptions_&amp;_Drivers'!F31)</f>
        <v/>
      </c>
      <c r="L25" s="31">
        <f>K25*(1+'02_Assumptions_&amp;_Drivers'!F31)</f>
        <v/>
      </c>
      <c r="M25" s="31">
        <f>L25*(1+'02_Assumptions_&amp;_Drivers'!F31)</f>
        <v/>
      </c>
      <c r="N25" s="31">
        <f>M25*(1+'02_Assumptions_&amp;_Drivers'!F31)</f>
        <v/>
      </c>
      <c r="O25" s="10">
        <f>SUM(C25:N25)</f>
        <v/>
      </c>
      <c r="P25" s="11">
        <f>O25/$O$10</f>
        <v/>
      </c>
    </row>
    <row r="26" ht="20" customHeight="1">
      <c r="B26" s="30" t="inlineStr">
        <is>
          <t xml:space="preserve">  Travel, Events &amp; Business Development</t>
        </is>
      </c>
      <c r="C26" s="31">
        <f>'02_Assumptions_&amp;_Drivers'!E32</f>
        <v/>
      </c>
      <c r="D26" s="31">
        <f>C26*(1+'02_Assumptions_&amp;_Drivers'!F32)</f>
        <v/>
      </c>
      <c r="E26" s="31">
        <f>D26*(1+'02_Assumptions_&amp;_Drivers'!F32)</f>
        <v/>
      </c>
      <c r="F26" s="31">
        <f>E26*(1+'02_Assumptions_&amp;_Drivers'!F32)</f>
        <v/>
      </c>
      <c r="G26" s="31">
        <f>F26*(1+'02_Assumptions_&amp;_Drivers'!F32)</f>
        <v/>
      </c>
      <c r="H26" s="31">
        <f>G26*(1+'02_Assumptions_&amp;_Drivers'!F32)</f>
        <v/>
      </c>
      <c r="I26" s="31">
        <f>H26*(1+'02_Assumptions_&amp;_Drivers'!F32)</f>
        <v/>
      </c>
      <c r="J26" s="31">
        <f>I26*(1+'02_Assumptions_&amp;_Drivers'!F32)</f>
        <v/>
      </c>
      <c r="K26" s="31">
        <f>J26*(1+'02_Assumptions_&amp;_Drivers'!F32)</f>
        <v/>
      </c>
      <c r="L26" s="31">
        <f>K26*(1+'02_Assumptions_&amp;_Drivers'!F32)</f>
        <v/>
      </c>
      <c r="M26" s="31">
        <f>L26*(1+'02_Assumptions_&amp;_Drivers'!F32)</f>
        <v/>
      </c>
      <c r="N26" s="31">
        <f>M26*(1+'02_Assumptions_&amp;_Drivers'!F32)</f>
        <v/>
      </c>
      <c r="O26" s="10">
        <f>SUM(C26:N26)</f>
        <v/>
      </c>
      <c r="P26" s="11">
        <f>O26/$O$10</f>
        <v/>
      </c>
    </row>
    <row r="27" ht="22" customHeight="1">
      <c r="B27" s="32" t="inlineStr">
        <is>
          <t>TOTAL OPERATING EXPENSES (OpEx)</t>
        </is>
      </c>
      <c r="C27" s="33">
        <f>SUM(C20:C26)</f>
        <v/>
      </c>
      <c r="D27" s="33">
        <f>SUM(D20:D26)</f>
        <v/>
      </c>
      <c r="E27" s="33">
        <f>SUM(E20:E26)</f>
        <v/>
      </c>
      <c r="F27" s="33">
        <f>SUM(F20:F26)</f>
        <v/>
      </c>
      <c r="G27" s="33">
        <f>SUM(G20:G26)</f>
        <v/>
      </c>
      <c r="H27" s="33">
        <f>SUM(H20:H26)</f>
        <v/>
      </c>
      <c r="I27" s="33">
        <f>SUM(I20:I26)</f>
        <v/>
      </c>
      <c r="J27" s="33">
        <f>SUM(J20:J26)</f>
        <v/>
      </c>
      <c r="K27" s="33">
        <f>SUM(K20:K26)</f>
        <v/>
      </c>
      <c r="L27" s="33">
        <f>SUM(L20:L26)</f>
        <v/>
      </c>
      <c r="M27" s="33">
        <f>SUM(M20:M26)</f>
        <v/>
      </c>
      <c r="N27" s="33">
        <f>SUM(N20:N26)</f>
        <v/>
      </c>
      <c r="O27" s="33">
        <f>SUM(O20:O26)</f>
        <v/>
      </c>
      <c r="P27" s="34">
        <f>O27/$O$10</f>
        <v/>
      </c>
    </row>
    <row r="28" ht="24" customHeight="1">
      <c r="B28" s="41" t="inlineStr">
        <is>
          <t>EBITDA (Operating Earnings)</t>
        </is>
      </c>
      <c r="C28" s="42">
        <f>C17-C27</f>
        <v/>
      </c>
      <c r="D28" s="42">
        <f>D17-D27</f>
        <v/>
      </c>
      <c r="E28" s="42">
        <f>E17-E27</f>
        <v/>
      </c>
      <c r="F28" s="42">
        <f>F17-F27</f>
        <v/>
      </c>
      <c r="G28" s="42">
        <f>G17-G27</f>
        <v/>
      </c>
      <c r="H28" s="42">
        <f>H17-H27</f>
        <v/>
      </c>
      <c r="I28" s="42">
        <f>I17-I27</f>
        <v/>
      </c>
      <c r="J28" s="42">
        <f>J17-J27</f>
        <v/>
      </c>
      <c r="K28" s="42">
        <f>K17-K27</f>
        <v/>
      </c>
      <c r="L28" s="42">
        <f>L17-L27</f>
        <v/>
      </c>
      <c r="M28" s="42">
        <f>M17-M27</f>
        <v/>
      </c>
      <c r="N28" s="42">
        <f>N17-N27</f>
        <v/>
      </c>
      <c r="O28" s="42">
        <f>O17-O27</f>
        <v/>
      </c>
      <c r="P28" s="43">
        <f>O28/$O$10</f>
        <v/>
      </c>
    </row>
    <row r="29" ht="20" customHeight="1">
      <c r="B29" s="30" t="inlineStr">
        <is>
          <t xml:space="preserve">  Less: Depreciation &amp; Amortization</t>
        </is>
      </c>
      <c r="C29" s="31">
        <f>'02_Assumptions_&amp;_Drivers'!$D$41</f>
        <v/>
      </c>
      <c r="D29" s="31">
        <f>'02_Assumptions_&amp;_Drivers'!$D$41</f>
        <v/>
      </c>
      <c r="E29" s="31">
        <f>'02_Assumptions_&amp;_Drivers'!$D$41</f>
        <v/>
      </c>
      <c r="F29" s="31">
        <f>'02_Assumptions_&amp;_Drivers'!$D$41</f>
        <v/>
      </c>
      <c r="G29" s="31">
        <f>'02_Assumptions_&amp;_Drivers'!$D$41</f>
        <v/>
      </c>
      <c r="H29" s="31">
        <f>'02_Assumptions_&amp;_Drivers'!$D$41</f>
        <v/>
      </c>
      <c r="I29" s="31">
        <f>'02_Assumptions_&amp;_Drivers'!$D$41</f>
        <v/>
      </c>
      <c r="J29" s="31">
        <f>'02_Assumptions_&amp;_Drivers'!$D$41</f>
        <v/>
      </c>
      <c r="K29" s="31">
        <f>'02_Assumptions_&amp;_Drivers'!$D$41</f>
        <v/>
      </c>
      <c r="L29" s="31">
        <f>'02_Assumptions_&amp;_Drivers'!$D$41</f>
        <v/>
      </c>
      <c r="M29" s="31">
        <f>'02_Assumptions_&amp;_Drivers'!$D$41</f>
        <v/>
      </c>
      <c r="N29" s="31">
        <f>'02_Assumptions_&amp;_Drivers'!$D$41</f>
        <v/>
      </c>
      <c r="O29" s="10">
        <f>SUM(C29:N29)</f>
        <v/>
      </c>
      <c r="P29" s="11">
        <f>O29/$O$10</f>
        <v/>
      </c>
    </row>
    <row r="30" ht="22" customHeight="1">
      <c r="B30" s="44" t="inlineStr">
        <is>
          <t>EBIT (Operating Income)</t>
        </is>
      </c>
      <c r="C30" s="10">
        <f>C28-C29</f>
        <v/>
      </c>
      <c r="D30" s="10">
        <f>D28-D29</f>
        <v/>
      </c>
      <c r="E30" s="10">
        <f>E28-E29</f>
        <v/>
      </c>
      <c r="F30" s="10">
        <f>F28-F29</f>
        <v/>
      </c>
      <c r="G30" s="10">
        <f>G28-G29</f>
        <v/>
      </c>
      <c r="H30" s="10">
        <f>H28-H29</f>
        <v/>
      </c>
      <c r="I30" s="10">
        <f>I28-I29</f>
        <v/>
      </c>
      <c r="J30" s="10">
        <f>J28-J29</f>
        <v/>
      </c>
      <c r="K30" s="10">
        <f>K28-K29</f>
        <v/>
      </c>
      <c r="L30" s="10">
        <f>L28-L29</f>
        <v/>
      </c>
      <c r="M30" s="10">
        <f>M28-M29</f>
        <v/>
      </c>
      <c r="N30" s="10">
        <f>N28-N29</f>
        <v/>
      </c>
      <c r="O30" s="10">
        <f>O28-O29</f>
        <v/>
      </c>
      <c r="P30" s="45">
        <f>O30/$O$10</f>
        <v/>
      </c>
    </row>
    <row r="31" ht="20" customHeight="1">
      <c r="B31" s="30" t="inlineStr">
        <is>
          <t xml:space="preserve">  Less: Corporate Income Tax (25%)</t>
        </is>
      </c>
      <c r="C31" s="31">
        <f>IF(C30&gt;0,C30*'02_Assumptions_&amp;_Drivers'!$D$40,0)</f>
        <v/>
      </c>
      <c r="D31" s="31">
        <f>IF(D30&gt;0,D30*'02_Assumptions_&amp;_Drivers'!$D$40,0)</f>
        <v/>
      </c>
      <c r="E31" s="31">
        <f>IF(E30&gt;0,E30*'02_Assumptions_&amp;_Drivers'!$D$40,0)</f>
        <v/>
      </c>
      <c r="F31" s="31">
        <f>IF(F30&gt;0,F30*'02_Assumptions_&amp;_Drivers'!$D$40,0)</f>
        <v/>
      </c>
      <c r="G31" s="31">
        <f>IF(G30&gt;0,G30*'02_Assumptions_&amp;_Drivers'!$D$40,0)</f>
        <v/>
      </c>
      <c r="H31" s="31">
        <f>IF(H30&gt;0,H30*'02_Assumptions_&amp;_Drivers'!$D$40,0)</f>
        <v/>
      </c>
      <c r="I31" s="31">
        <f>IF(I30&gt;0,I30*'02_Assumptions_&amp;_Drivers'!$D$40,0)</f>
        <v/>
      </c>
      <c r="J31" s="31">
        <f>IF(J30&gt;0,J30*'02_Assumptions_&amp;_Drivers'!$D$40,0)</f>
        <v/>
      </c>
      <c r="K31" s="31">
        <f>IF(K30&gt;0,K30*'02_Assumptions_&amp;_Drivers'!$D$40,0)</f>
        <v/>
      </c>
      <c r="L31" s="31">
        <f>IF(L30&gt;0,L30*'02_Assumptions_&amp;_Drivers'!$D$40,0)</f>
        <v/>
      </c>
      <c r="M31" s="31">
        <f>IF(M30&gt;0,M30*'02_Assumptions_&amp;_Drivers'!$D$40,0)</f>
        <v/>
      </c>
      <c r="N31" s="31">
        <f>IF(N30&gt;0,N30*'02_Assumptions_&amp;_Drivers'!$D$40,0)</f>
        <v/>
      </c>
      <c r="O31" s="10">
        <f>SUM(C31:N31)</f>
        <v/>
      </c>
      <c r="P31" s="11">
        <f>O31/$O$10</f>
        <v/>
      </c>
    </row>
    <row r="32" ht="26" customHeight="1">
      <c r="B32" s="46" t="inlineStr">
        <is>
          <t>NET PROFIT / (LOSS)</t>
        </is>
      </c>
      <c r="C32" s="47">
        <f>C30-C31</f>
        <v/>
      </c>
      <c r="D32" s="47">
        <f>D30-D31</f>
        <v/>
      </c>
      <c r="E32" s="47">
        <f>E30-E31</f>
        <v/>
      </c>
      <c r="F32" s="47">
        <f>F30-F31</f>
        <v/>
      </c>
      <c r="G32" s="47">
        <f>G30-G31</f>
        <v/>
      </c>
      <c r="H32" s="47">
        <f>H30-H31</f>
        <v/>
      </c>
      <c r="I32" s="47">
        <f>I30-I31</f>
        <v/>
      </c>
      <c r="J32" s="47">
        <f>J30-J31</f>
        <v/>
      </c>
      <c r="K32" s="47">
        <f>K30-K31</f>
        <v/>
      </c>
      <c r="L32" s="47">
        <f>L30-L31</f>
        <v/>
      </c>
      <c r="M32" s="47">
        <f>M30-M31</f>
        <v/>
      </c>
      <c r="N32" s="47">
        <f>N30-N31</f>
        <v/>
      </c>
      <c r="O32" s="47">
        <f>O30-O31</f>
        <v/>
      </c>
      <c r="P32" s="48">
        <f>O32/$O$10</f>
        <v/>
      </c>
    </row>
    <row r="33" ht="18" customHeight="1">
      <c r="B33" s="49" t="inlineStr">
        <is>
          <t>Net Margin %</t>
        </is>
      </c>
      <c r="C33" s="50">
        <f>C32/C10</f>
        <v/>
      </c>
      <c r="D33" s="50">
        <f>D32/D10</f>
        <v/>
      </c>
      <c r="E33" s="50">
        <f>E32/E10</f>
        <v/>
      </c>
      <c r="F33" s="50">
        <f>F32/F10</f>
        <v/>
      </c>
      <c r="G33" s="50">
        <f>G32/G10</f>
        <v/>
      </c>
      <c r="H33" s="50">
        <f>H32/H10</f>
        <v/>
      </c>
      <c r="I33" s="50">
        <f>I32/I10</f>
        <v/>
      </c>
      <c r="J33" s="50">
        <f>J32/J10</f>
        <v/>
      </c>
      <c r="K33" s="50">
        <f>K32/K10</f>
        <v/>
      </c>
      <c r="L33" s="50">
        <f>L32/L10</f>
        <v/>
      </c>
      <c r="M33" s="50">
        <f>M32/M10</f>
        <v/>
      </c>
      <c r="N33" s="50">
        <f>N32/N10</f>
        <v/>
      </c>
      <c r="O33" s="50">
        <f>O32/O10</f>
        <v/>
      </c>
      <c r="P33" s="40" t="inlineStr"/>
    </row>
  </sheetData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19" customWidth="1" min="15" max="15"/>
  </cols>
  <sheetData>
    <row r="1" ht="28" customHeight="1">
      <c r="A1" s="1" t="inlineStr">
        <is>
          <t xml:space="preserve">  12-MONTH MONTHLY CASH-FLOW STATEMENT &amp; LIQUIDITY FORECAST</t>
        </is>
      </c>
    </row>
    <row r="2" ht="18" customHeight="1">
      <c r="A2" s="2" t="inlineStr">
        <is>
          <t xml:space="preserve">  Direct Cash Flow: Operating Cash Collections, Vendor Disbursements, CapEx, Net Burn &amp; Cash Runway</t>
        </is>
      </c>
    </row>
    <row r="3"/>
    <row r="4" ht="24" customHeight="1">
      <c r="B4" s="27" t="inlineStr">
        <is>
          <t>Cash Flow Line Item / Activity</t>
        </is>
      </c>
      <c r="C4" s="27" t="inlineStr">
        <is>
          <t>M1 (2026)</t>
        </is>
      </c>
      <c r="D4" s="27" t="inlineStr">
        <is>
          <t>M2 (2026)</t>
        </is>
      </c>
      <c r="E4" s="27" t="inlineStr">
        <is>
          <t>M3 (2026)</t>
        </is>
      </c>
      <c r="F4" s="27" t="inlineStr">
        <is>
          <t>M4 (2026)</t>
        </is>
      </c>
      <c r="G4" s="27" t="inlineStr">
        <is>
          <t>M5 (2026)</t>
        </is>
      </c>
      <c r="H4" s="27" t="inlineStr">
        <is>
          <t>M6 (2026)</t>
        </is>
      </c>
      <c r="I4" s="27" t="inlineStr">
        <is>
          <t>M7 (2026)</t>
        </is>
      </c>
      <c r="J4" s="27" t="inlineStr">
        <is>
          <t>M8 (2026)</t>
        </is>
      </c>
      <c r="K4" s="27" t="inlineStr">
        <is>
          <t>M9 (2026)</t>
        </is>
      </c>
      <c r="L4" s="27" t="inlineStr">
        <is>
          <t>M10 (2026)</t>
        </is>
      </c>
      <c r="M4" s="27" t="inlineStr">
        <is>
          <t>M11 (2026)</t>
        </is>
      </c>
      <c r="N4" s="27" t="inlineStr">
        <is>
          <t>M12 (2026)</t>
        </is>
      </c>
      <c r="O4" s="27" t="inlineStr">
        <is>
          <t>FY 2026 Total</t>
        </is>
      </c>
    </row>
    <row r="5" ht="20" customHeight="1">
      <c r="B5" s="28" t="inlineStr">
        <is>
          <t>1. OPERATING CASH INFLOWS (COLLECTIONS)</t>
        </is>
      </c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</row>
    <row r="6" ht="20" customHeight="1">
      <c r="B6" s="30" t="inlineStr">
        <is>
          <t xml:space="preserve">  Customer Cash Receipts (Collections)</t>
        </is>
      </c>
      <c r="C6" s="31">
        <f>'03_12M_P&amp;L_Forecast'!C10*0.85</f>
        <v/>
      </c>
      <c r="D6" s="31">
        <f>'03_12M_P&amp;L_Forecast'!D10*0.80+'03_12M_P&amp;L_Forecast'!C10*0.20</f>
        <v/>
      </c>
      <c r="E6" s="31">
        <f>'03_12M_P&amp;L_Forecast'!E10*0.80+'03_12M_P&amp;L_Forecast'!D10*0.20</f>
        <v/>
      </c>
      <c r="F6" s="31">
        <f>'03_12M_P&amp;L_Forecast'!F10*0.80+'03_12M_P&amp;L_Forecast'!E10*0.20</f>
        <v/>
      </c>
      <c r="G6" s="31">
        <f>'03_12M_P&amp;L_Forecast'!G10*0.80+'03_12M_P&amp;L_Forecast'!F10*0.20</f>
        <v/>
      </c>
      <c r="H6" s="31">
        <f>'03_12M_P&amp;L_Forecast'!H10*0.80+'03_12M_P&amp;L_Forecast'!G10*0.20</f>
        <v/>
      </c>
      <c r="I6" s="31">
        <f>'03_12M_P&amp;L_Forecast'!I10*0.80+'03_12M_P&amp;L_Forecast'!H10*0.20</f>
        <v/>
      </c>
      <c r="J6" s="31">
        <f>'03_12M_P&amp;L_Forecast'!J10*0.80+'03_12M_P&amp;L_Forecast'!I10*0.20</f>
        <v/>
      </c>
      <c r="K6" s="31">
        <f>'03_12M_P&amp;L_Forecast'!K10*0.80+'03_12M_P&amp;L_Forecast'!J10*0.20</f>
        <v/>
      </c>
      <c r="L6" s="31">
        <f>'03_12M_P&amp;L_Forecast'!L10*0.80+'03_12M_P&amp;L_Forecast'!K10*0.20</f>
        <v/>
      </c>
      <c r="M6" s="31">
        <f>'03_12M_P&amp;L_Forecast'!M10*0.80+'03_12M_P&amp;L_Forecast'!L10*0.20</f>
        <v/>
      </c>
      <c r="N6" s="31">
        <f>'03_12M_P&amp;L_Forecast'!N10*0.80+'03_12M_P&amp;L_Forecast'!M10*0.20</f>
        <v/>
      </c>
      <c r="O6" s="10">
        <f>SUM(C6:N6)</f>
        <v/>
      </c>
    </row>
    <row r="7" ht="22" customHeight="1">
      <c r="B7" s="32" t="inlineStr">
        <is>
          <t>TOTAL OPERATING CASH INFLOWS</t>
        </is>
      </c>
      <c r="C7" s="33">
        <f>C6</f>
        <v/>
      </c>
      <c r="D7" s="33">
        <f>D6</f>
        <v/>
      </c>
      <c r="E7" s="33">
        <f>E6</f>
        <v/>
      </c>
      <c r="F7" s="33">
        <f>F6</f>
        <v/>
      </c>
      <c r="G7" s="33">
        <f>G6</f>
        <v/>
      </c>
      <c r="H7" s="33">
        <f>H6</f>
        <v/>
      </c>
      <c r="I7" s="33">
        <f>I6</f>
        <v/>
      </c>
      <c r="J7" s="33">
        <f>J6</f>
        <v/>
      </c>
      <c r="K7" s="33">
        <f>K6</f>
        <v/>
      </c>
      <c r="L7" s="33">
        <f>L6</f>
        <v/>
      </c>
      <c r="M7" s="33">
        <f>M6</f>
        <v/>
      </c>
      <c r="N7" s="33">
        <f>N6</f>
        <v/>
      </c>
      <c r="O7" s="33">
        <f>SUM(C7:N7)</f>
        <v/>
      </c>
    </row>
    <row r="8" ht="20" customHeight="1">
      <c r="B8" s="28" t="inlineStr">
        <is>
          <t>2. OPERATING CASH DISBURSEMENTS</t>
        </is>
      </c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29" t="n"/>
    </row>
    <row r="9" ht="20" customHeight="1">
      <c r="B9" s="30" t="inlineStr">
        <is>
          <t xml:space="preserve">  Vendor &amp; Supplier Disbursements (COGS)</t>
        </is>
      </c>
      <c r="C9" s="31">
        <f>'03_12M_P&amp;L_Forecast'!C16</f>
        <v/>
      </c>
      <c r="D9" s="31">
        <f>'03_12M_P&amp;L_Forecast'!D16</f>
        <v/>
      </c>
      <c r="E9" s="31">
        <f>'03_12M_P&amp;L_Forecast'!E16</f>
        <v/>
      </c>
      <c r="F9" s="31">
        <f>'03_12M_P&amp;L_Forecast'!F16</f>
        <v/>
      </c>
      <c r="G9" s="31">
        <f>'03_12M_P&amp;L_Forecast'!G16</f>
        <v/>
      </c>
      <c r="H9" s="31">
        <f>'03_12M_P&amp;L_Forecast'!H16</f>
        <v/>
      </c>
      <c r="I9" s="31">
        <f>'03_12M_P&amp;L_Forecast'!I16</f>
        <v/>
      </c>
      <c r="J9" s="31">
        <f>'03_12M_P&amp;L_Forecast'!J16</f>
        <v/>
      </c>
      <c r="K9" s="31">
        <f>'03_12M_P&amp;L_Forecast'!K16</f>
        <v/>
      </c>
      <c r="L9" s="31">
        <f>'03_12M_P&amp;L_Forecast'!L16</f>
        <v/>
      </c>
      <c r="M9" s="31">
        <f>'03_12M_P&amp;L_Forecast'!M16</f>
        <v/>
      </c>
      <c r="N9" s="31">
        <f>'03_12M_P&amp;L_Forecast'!N16</f>
        <v/>
      </c>
      <c r="O9" s="10">
        <f>SUM(C9:N9)</f>
        <v/>
      </c>
    </row>
    <row r="10" ht="20" customHeight="1">
      <c r="B10" s="30" t="inlineStr">
        <is>
          <t xml:space="preserve">  Payroll, Salaries &amp; Staff Benefits</t>
        </is>
      </c>
      <c r="C10" s="31">
        <f>'03_12M_P&amp;L_Forecast'!C20</f>
        <v/>
      </c>
      <c r="D10" s="31">
        <f>'03_12M_P&amp;L_Forecast'!D20</f>
        <v/>
      </c>
      <c r="E10" s="31">
        <f>'03_12M_P&amp;L_Forecast'!E20</f>
        <v/>
      </c>
      <c r="F10" s="31">
        <f>'03_12M_P&amp;L_Forecast'!F20</f>
        <v/>
      </c>
      <c r="G10" s="31">
        <f>'03_12M_P&amp;L_Forecast'!G20</f>
        <v/>
      </c>
      <c r="H10" s="31">
        <f>'03_12M_P&amp;L_Forecast'!H20</f>
        <v/>
      </c>
      <c r="I10" s="31">
        <f>'03_12M_P&amp;L_Forecast'!I20</f>
        <v/>
      </c>
      <c r="J10" s="31">
        <f>'03_12M_P&amp;L_Forecast'!J20</f>
        <v/>
      </c>
      <c r="K10" s="31">
        <f>'03_12M_P&amp;L_Forecast'!K20</f>
        <v/>
      </c>
      <c r="L10" s="31">
        <f>'03_12M_P&amp;L_Forecast'!L20</f>
        <v/>
      </c>
      <c r="M10" s="31">
        <f>'03_12M_P&amp;L_Forecast'!M20</f>
        <v/>
      </c>
      <c r="N10" s="31">
        <f>'03_12M_P&amp;L_Forecast'!N20</f>
        <v/>
      </c>
      <c r="O10" s="10">
        <f>SUM(C10:N10)</f>
        <v/>
      </c>
    </row>
    <row r="11" ht="20" customHeight="1">
      <c r="B11" s="30" t="inlineStr">
        <is>
          <t xml:space="preserve">  Marketing &amp; Customer Acquisition Outflows</t>
        </is>
      </c>
      <c r="C11" s="31">
        <f>'03_12M_P&amp;L_Forecast'!C21</f>
        <v/>
      </c>
      <c r="D11" s="31">
        <f>'03_12M_P&amp;L_Forecast'!D21</f>
        <v/>
      </c>
      <c r="E11" s="31">
        <f>'03_12M_P&amp;L_Forecast'!E21</f>
        <v/>
      </c>
      <c r="F11" s="31">
        <f>'03_12M_P&amp;L_Forecast'!F21</f>
        <v/>
      </c>
      <c r="G11" s="31">
        <f>'03_12M_P&amp;L_Forecast'!G21</f>
        <v/>
      </c>
      <c r="H11" s="31">
        <f>'03_12M_P&amp;L_Forecast'!H21</f>
        <v/>
      </c>
      <c r="I11" s="31">
        <f>'03_12M_P&amp;L_Forecast'!I21</f>
        <v/>
      </c>
      <c r="J11" s="31">
        <f>'03_12M_P&amp;L_Forecast'!J21</f>
        <v/>
      </c>
      <c r="K11" s="31">
        <f>'03_12M_P&amp;L_Forecast'!K21</f>
        <v/>
      </c>
      <c r="L11" s="31">
        <f>'03_12M_P&amp;L_Forecast'!L21</f>
        <v/>
      </c>
      <c r="M11" s="31">
        <f>'03_12M_P&amp;L_Forecast'!M21</f>
        <v/>
      </c>
      <c r="N11" s="31">
        <f>'03_12M_P&amp;L_Forecast'!N21</f>
        <v/>
      </c>
      <c r="O11" s="10">
        <f>SUM(C11:N11)</f>
        <v/>
      </c>
    </row>
    <row r="12" ht="20" customHeight="1">
      <c r="B12" s="30" t="inlineStr">
        <is>
          <t xml:space="preserve">  Facilities, Software &amp; General OpEx</t>
        </is>
      </c>
      <c r="C12" s="31">
        <f>SUM('03_12M_P&amp;L_Forecast'!C22:C26)</f>
        <v/>
      </c>
      <c r="D12" s="31">
        <f>SUM('03_12M_P&amp;L_Forecast'!D22:D26)</f>
        <v/>
      </c>
      <c r="E12" s="31">
        <f>SUM('03_12M_P&amp;L_Forecast'!E22:E26)</f>
        <v/>
      </c>
      <c r="F12" s="31">
        <f>SUM('03_12M_P&amp;L_Forecast'!F22:F26)</f>
        <v/>
      </c>
      <c r="G12" s="31">
        <f>SUM('03_12M_P&amp;L_Forecast'!G22:G26)</f>
        <v/>
      </c>
      <c r="H12" s="31">
        <f>SUM('03_12M_P&amp;L_Forecast'!H22:H26)</f>
        <v/>
      </c>
      <c r="I12" s="31">
        <f>SUM('03_12M_P&amp;L_Forecast'!I22:I26)</f>
        <v/>
      </c>
      <c r="J12" s="31">
        <f>SUM('03_12M_P&amp;L_Forecast'!J22:J26)</f>
        <v/>
      </c>
      <c r="K12" s="31">
        <f>SUM('03_12M_P&amp;L_Forecast'!K22:K26)</f>
        <v/>
      </c>
      <c r="L12" s="31">
        <f>SUM('03_12M_P&amp;L_Forecast'!L22:L26)</f>
        <v/>
      </c>
      <c r="M12" s="31">
        <f>SUM('03_12M_P&amp;L_Forecast'!M22:M26)</f>
        <v/>
      </c>
      <c r="N12" s="31">
        <f>SUM('03_12M_P&amp;L_Forecast'!N22:N26)</f>
        <v/>
      </c>
      <c r="O12" s="10">
        <f>SUM(C12:N12)</f>
        <v/>
      </c>
    </row>
    <row r="13" ht="20" customHeight="1">
      <c r="B13" s="30" t="inlineStr">
        <is>
          <t xml:space="preserve">  Corporate Tax Payments</t>
        </is>
      </c>
      <c r="C13" s="31">
        <f>'03_12M_P&amp;L_Forecast'!C31</f>
        <v/>
      </c>
      <c r="D13" s="31">
        <f>'03_12M_P&amp;L_Forecast'!D31</f>
        <v/>
      </c>
      <c r="E13" s="31">
        <f>'03_12M_P&amp;L_Forecast'!E31</f>
        <v/>
      </c>
      <c r="F13" s="31">
        <f>'03_12M_P&amp;L_Forecast'!F31</f>
        <v/>
      </c>
      <c r="G13" s="31">
        <f>'03_12M_P&amp;L_Forecast'!G31</f>
        <v/>
      </c>
      <c r="H13" s="31">
        <f>'03_12M_P&amp;L_Forecast'!H31</f>
        <v/>
      </c>
      <c r="I13" s="31">
        <f>'03_12M_P&amp;L_Forecast'!I31</f>
        <v/>
      </c>
      <c r="J13" s="31">
        <f>'03_12M_P&amp;L_Forecast'!J31</f>
        <v/>
      </c>
      <c r="K13" s="31">
        <f>'03_12M_P&amp;L_Forecast'!K31</f>
        <v/>
      </c>
      <c r="L13" s="31">
        <f>'03_12M_P&amp;L_Forecast'!L31</f>
        <v/>
      </c>
      <c r="M13" s="31">
        <f>'03_12M_P&amp;L_Forecast'!M31</f>
        <v/>
      </c>
      <c r="N13" s="31">
        <f>'03_12M_P&amp;L_Forecast'!N31</f>
        <v/>
      </c>
      <c r="O13" s="10">
        <f>SUM(C13:N13)</f>
        <v/>
      </c>
    </row>
    <row r="14" ht="22" customHeight="1">
      <c r="B14" s="32" t="inlineStr">
        <is>
          <t>TOTAL OPERATING CASH OUTFLOWS</t>
        </is>
      </c>
      <c r="C14" s="33">
        <f>SUM(C9:C13)</f>
        <v/>
      </c>
      <c r="D14" s="33">
        <f>SUM(D9:D13)</f>
        <v/>
      </c>
      <c r="E14" s="33">
        <f>SUM(E9:E13)</f>
        <v/>
      </c>
      <c r="F14" s="33">
        <f>SUM(F9:F13)</f>
        <v/>
      </c>
      <c r="G14" s="33">
        <f>SUM(G9:G13)</f>
        <v/>
      </c>
      <c r="H14" s="33">
        <f>SUM(H9:H13)</f>
        <v/>
      </c>
      <c r="I14" s="33">
        <f>SUM(I9:I13)</f>
        <v/>
      </c>
      <c r="J14" s="33">
        <f>SUM(J9:J13)</f>
        <v/>
      </c>
      <c r="K14" s="33">
        <f>SUM(K9:K13)</f>
        <v/>
      </c>
      <c r="L14" s="33">
        <f>SUM(L9:L13)</f>
        <v/>
      </c>
      <c r="M14" s="33">
        <f>SUM(M9:M13)</f>
        <v/>
      </c>
      <c r="N14" s="33">
        <f>SUM(N9:N13)</f>
        <v/>
      </c>
      <c r="O14" s="33">
        <f>SUM(O9:O13)</f>
        <v/>
      </c>
    </row>
    <row r="15" ht="24" customHeight="1">
      <c r="B15" s="51" t="inlineStr">
        <is>
          <t>NET CASH FLOW FROM OPERATIONS (CFO)</t>
        </is>
      </c>
      <c r="C15" s="42">
        <f>C7-C14</f>
        <v/>
      </c>
      <c r="D15" s="42">
        <f>D7-D14</f>
        <v/>
      </c>
      <c r="E15" s="42">
        <f>E7-E14</f>
        <v/>
      </c>
      <c r="F15" s="42">
        <f>F7-F14</f>
        <v/>
      </c>
      <c r="G15" s="42">
        <f>G7-G14</f>
        <v/>
      </c>
      <c r="H15" s="42">
        <f>H7-H14</f>
        <v/>
      </c>
      <c r="I15" s="42">
        <f>I7-I14</f>
        <v/>
      </c>
      <c r="J15" s="42">
        <f>J7-J14</f>
        <v/>
      </c>
      <c r="K15" s="42">
        <f>K7-K14</f>
        <v/>
      </c>
      <c r="L15" s="42">
        <f>L7-L14</f>
        <v/>
      </c>
      <c r="M15" s="42">
        <f>M7-M14</f>
        <v/>
      </c>
      <c r="N15" s="42">
        <f>N7-N14</f>
        <v/>
      </c>
      <c r="O15" s="42">
        <f>O7-O14</f>
        <v/>
      </c>
    </row>
    <row r="16" ht="20" customHeight="1">
      <c r="B16" s="28" t="inlineStr">
        <is>
          <t>3. INVESTING &amp; FINANCING ACTIVITIES</t>
        </is>
      </c>
      <c r="C16" s="29" t="n"/>
      <c r="D16" s="29" t="n"/>
      <c r="E16" s="29" t="n"/>
      <c r="F16" s="29" t="n"/>
      <c r="G16" s="29" t="n"/>
      <c r="H16" s="29" t="n"/>
      <c r="I16" s="29" t="n"/>
      <c r="J16" s="29" t="n"/>
      <c r="K16" s="29" t="n"/>
      <c r="L16" s="29" t="n"/>
      <c r="M16" s="29" t="n"/>
      <c r="N16" s="29" t="n"/>
      <c r="O16" s="29" t="n"/>
    </row>
    <row r="17" ht="20" customHeight="1">
      <c r="B17" s="30" t="inlineStr">
        <is>
          <t xml:space="preserve">  Capital Expenditures (CapEx &amp; Hardware)</t>
        </is>
      </c>
      <c r="C17" s="31" t="n">
        <v>0</v>
      </c>
      <c r="D17" s="31" t="n">
        <v>0</v>
      </c>
      <c r="E17" s="31" t="n">
        <v>0</v>
      </c>
      <c r="F17" s="31" t="n">
        <v>0</v>
      </c>
      <c r="G17" s="31">
        <f>'02_Assumptions_&amp;_Drivers'!$D$42</f>
        <v/>
      </c>
      <c r="H17" s="31" t="n">
        <v>0</v>
      </c>
      <c r="I17" s="31" t="n">
        <v>0</v>
      </c>
      <c r="J17" s="31" t="n">
        <v>0</v>
      </c>
      <c r="K17" s="31" t="n">
        <v>0</v>
      </c>
      <c r="L17" s="31">
        <f>'02_Assumptions_&amp;_Drivers'!$D$43</f>
        <v/>
      </c>
      <c r="M17" s="31" t="n">
        <v>0</v>
      </c>
      <c r="N17" s="31" t="n">
        <v>0</v>
      </c>
      <c r="O17" s="10">
        <f>SUM(C17:N17)</f>
        <v/>
      </c>
    </row>
    <row r="18" ht="20" customHeight="1">
      <c r="B18" s="30" t="inlineStr">
        <is>
          <t xml:space="preserve">  Financing / Capital Infusions / Loans</t>
        </is>
      </c>
      <c r="C18" s="31" t="n">
        <v>0</v>
      </c>
      <c r="D18" s="31" t="n">
        <v>0</v>
      </c>
      <c r="E18" s="31" t="n">
        <v>0</v>
      </c>
      <c r="F18" s="31" t="n">
        <v>0</v>
      </c>
      <c r="G18" s="31" t="n">
        <v>0</v>
      </c>
      <c r="H18" s="31" t="n">
        <v>0</v>
      </c>
      <c r="I18" s="31" t="n">
        <v>0</v>
      </c>
      <c r="J18" s="31" t="n">
        <v>0</v>
      </c>
      <c r="K18" s="31" t="n">
        <v>0</v>
      </c>
      <c r="L18" s="31" t="n">
        <v>0</v>
      </c>
      <c r="M18" s="31" t="n">
        <v>0</v>
      </c>
      <c r="N18" s="31" t="n">
        <v>0</v>
      </c>
      <c r="O18" s="10">
        <f>SUM(C18:N18)</f>
        <v/>
      </c>
    </row>
    <row r="19" ht="24" customHeight="1">
      <c r="B19" s="52" t="inlineStr">
        <is>
          <t>NET MONTHLY CASH CHANGE (BURN / BUILD)</t>
        </is>
      </c>
      <c r="C19" s="53">
        <f>C15-C17+C18</f>
        <v/>
      </c>
      <c r="D19" s="53">
        <f>D15-D17+D18</f>
        <v/>
      </c>
      <c r="E19" s="53">
        <f>E15-E17+E18</f>
        <v/>
      </c>
      <c r="F19" s="53">
        <f>F15-F17+F18</f>
        <v/>
      </c>
      <c r="G19" s="53">
        <f>G15-G17+G18</f>
        <v/>
      </c>
      <c r="H19" s="53">
        <f>H15-H17+H18</f>
        <v/>
      </c>
      <c r="I19" s="53">
        <f>I15-I17+I18</f>
        <v/>
      </c>
      <c r="J19" s="53">
        <f>J15-J17+J18</f>
        <v/>
      </c>
      <c r="K19" s="53">
        <f>K15-K17+K18</f>
        <v/>
      </c>
      <c r="L19" s="53">
        <f>L15-L17+L18</f>
        <v/>
      </c>
      <c r="M19" s="53">
        <f>M15-M17+M18</f>
        <v/>
      </c>
      <c r="N19" s="53">
        <f>N15-N17+N18</f>
        <v/>
      </c>
      <c r="O19" s="53">
        <f>O15-O17+O18</f>
        <v/>
      </c>
    </row>
    <row r="20" ht="20" customHeight="1">
      <c r="B20" s="28" t="inlineStr">
        <is>
          <t>4. CASH LIQUIDITY &amp; RUNWAY MONITORING</t>
        </is>
      </c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</row>
    <row r="21" ht="20" customHeight="1">
      <c r="B21" s="30" t="inlineStr">
        <is>
          <t xml:space="preserve">  Beginning Cash Balance</t>
        </is>
      </c>
      <c r="C21" s="31">
        <f>'02_Assumptions_&amp;_Drivers'!$D$37</f>
        <v/>
      </c>
      <c r="D21" s="31">
        <f>C22</f>
        <v/>
      </c>
      <c r="E21" s="31">
        <f>D22</f>
        <v/>
      </c>
      <c r="F21" s="31">
        <f>E22</f>
        <v/>
      </c>
      <c r="G21" s="31">
        <f>F22</f>
        <v/>
      </c>
      <c r="H21" s="31">
        <f>G22</f>
        <v/>
      </c>
      <c r="I21" s="31">
        <f>H22</f>
        <v/>
      </c>
      <c r="J21" s="31">
        <f>I22</f>
        <v/>
      </c>
      <c r="K21" s="31">
        <f>J22</f>
        <v/>
      </c>
      <c r="L21" s="31">
        <f>K22</f>
        <v/>
      </c>
      <c r="M21" s="31">
        <f>L22</f>
        <v/>
      </c>
      <c r="N21" s="31">
        <f>M22</f>
        <v/>
      </c>
      <c r="O21" s="10">
        <f>C21</f>
        <v/>
      </c>
    </row>
    <row r="22" ht="24" customHeight="1">
      <c r="B22" s="54" t="inlineStr">
        <is>
          <t xml:space="preserve">  ENDING CASH BALANCE</t>
        </is>
      </c>
      <c r="C22" s="55">
        <f>C21+C19</f>
        <v/>
      </c>
      <c r="D22" s="55">
        <f>D21+D19</f>
        <v/>
      </c>
      <c r="E22" s="55">
        <f>E21+E19</f>
        <v/>
      </c>
      <c r="F22" s="55">
        <f>F21+F19</f>
        <v/>
      </c>
      <c r="G22" s="55">
        <f>G21+G19</f>
        <v/>
      </c>
      <c r="H22" s="55">
        <f>H21+H19</f>
        <v/>
      </c>
      <c r="I22" s="55">
        <f>I21+I19</f>
        <v/>
      </c>
      <c r="J22" s="55">
        <f>J21+J19</f>
        <v/>
      </c>
      <c r="K22" s="55">
        <f>K21+K19</f>
        <v/>
      </c>
      <c r="L22" s="55">
        <f>L21+L19</f>
        <v/>
      </c>
      <c r="M22" s="55">
        <f>M21+M19</f>
        <v/>
      </c>
      <c r="N22" s="55">
        <f>N21+N19</f>
        <v/>
      </c>
      <c r="O22" s="56">
        <f>N22</f>
        <v/>
      </c>
    </row>
    <row r="23" ht="22" customHeight="1">
      <c r="B23" s="57" t="inlineStr">
        <is>
          <t xml:space="preserve">  Estimated Cash Runway (Months)</t>
        </is>
      </c>
      <c r="C23" s="58">
        <f>IF(C19&lt;0, ROUND(C22/ABS(C19), 1), "Self-Sustaining")</f>
        <v/>
      </c>
      <c r="D23" s="58">
        <f>IF(D19&lt;0, ROUND(D22/ABS(D19), 1), "Self-Sustaining")</f>
        <v/>
      </c>
      <c r="E23" s="58">
        <f>IF(E19&lt;0, ROUND(E22/ABS(E19), 1), "Self-Sustaining")</f>
        <v/>
      </c>
      <c r="F23" s="58">
        <f>IF(F19&lt;0, ROUND(F22/ABS(F19), 1), "Self-Sustaining")</f>
        <v/>
      </c>
      <c r="G23" s="58">
        <f>IF(G19&lt;0, ROUND(G22/ABS(G19), 1), "Self-Sustaining")</f>
        <v/>
      </c>
      <c r="H23" s="58">
        <f>IF(H19&lt;0, ROUND(H22/ABS(H19), 1), "Self-Sustaining")</f>
        <v/>
      </c>
      <c r="I23" s="58">
        <f>IF(I19&lt;0, ROUND(I22/ABS(I19), 1), "Self-Sustaining")</f>
        <v/>
      </c>
      <c r="J23" s="58">
        <f>IF(J19&lt;0, ROUND(J22/ABS(J19), 1), "Self-Sustaining")</f>
        <v/>
      </c>
      <c r="K23" s="58">
        <f>IF(K19&lt;0, ROUND(K22/ABS(K19), 1), "Self-Sustaining")</f>
        <v/>
      </c>
      <c r="L23" s="58">
        <f>IF(L19&lt;0, ROUND(L22/ABS(L19), 1), "Self-Sustaining")</f>
        <v/>
      </c>
      <c r="M23" s="58">
        <f>IF(M19&lt;0, ROUND(M22/ABS(M19), 1), "Self-Sustaining")</f>
        <v/>
      </c>
      <c r="N23" s="58">
        <f>IF(N19&lt;0, ROUND(N22/ABS(N19), 1), "Self-Sustaining")</f>
        <v/>
      </c>
      <c r="O23" s="58">
        <f>N23</f>
        <v/>
      </c>
    </row>
  </sheetData>
  <mergeCells count="2">
    <mergeCell ref="A1:O1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15" customWidth="1" min="3" max="3"/>
    <col width="32" customWidth="1" min="4" max="4"/>
    <col width="20" customWidth="1" min="5" max="5"/>
    <col width="15" customWidth="1" min="6" max="6"/>
    <col width="15" customWidth="1" min="7" max="7"/>
    <col width="40" customWidth="1" min="8" max="8"/>
    <col width="40" customWidth="1" min="9" max="9"/>
  </cols>
  <sheetData>
    <row r="1" ht="28" customHeight="1">
      <c r="A1" s="1" t="inlineStr">
        <is>
          <t xml:space="preserve">  BUDGET VS. ACTUALS (BVA) VARIANCE ANALYSIS FRAMEWORK</t>
        </is>
      </c>
    </row>
    <row r="2" ht="18" customHeight="1">
      <c r="A2" s="2" t="inlineStr">
        <is>
          <t xml:space="preserve">  Financial Control Framework: 12M Budget vs Projected Actuals, Variance ($ and %), and Management Triggers</t>
        </is>
      </c>
    </row>
    <row r="3"/>
    <row r="4" ht="24" customHeight="1">
      <c r="B4" s="27" t="inlineStr">
        <is>
          <t>Line Item / Category</t>
        </is>
      </c>
      <c r="C4" s="27" t="inlineStr">
        <is>
          <t>Account Code</t>
        </is>
      </c>
      <c r="D4" s="27" t="inlineStr">
        <is>
          <t>12M Approved Budget</t>
        </is>
      </c>
      <c r="E4" s="27" t="inlineStr">
        <is>
          <t>Projected Actuals</t>
        </is>
      </c>
      <c r="F4" s="27" t="inlineStr">
        <is>
          <t>Variance ($)</t>
        </is>
      </c>
      <c r="G4" s="27" t="inlineStr">
        <is>
          <t>Variance (%)</t>
        </is>
      </c>
      <c r="H4" s="27" t="inlineStr">
        <is>
          <t>Performance Status</t>
        </is>
      </c>
      <c r="I4" s="27" t="inlineStr">
        <is>
          <t>Operational Action Required</t>
        </is>
      </c>
    </row>
    <row r="5" ht="20" customHeight="1">
      <c r="B5" s="30" t="inlineStr">
        <is>
          <t>SaaS Subscriptions (Pro Tier)</t>
        </is>
      </c>
      <c r="C5" s="22" t="inlineStr">
        <is>
          <t>REV-4001</t>
        </is>
      </c>
      <c r="D5" s="12">
        <f>'03_12M_P&amp;L_Forecast'!O6</f>
        <v/>
      </c>
      <c r="E5" s="25" t="n">
        <v>365000</v>
      </c>
      <c r="F5" s="10">
        <f>E5-D5</f>
        <v/>
      </c>
      <c r="G5" s="11">
        <f>F5/D5</f>
        <v/>
      </c>
      <c r="H5" s="59">
        <f>IF(G5&gt;=0, "FAVORABLE", IF(G5&gt;=-0.05, "ON TRACK", "UNFAVORABLE"))</f>
        <v/>
      </c>
      <c r="I5" s="26" t="inlineStr">
        <is>
          <t>Maintain high customer retention &amp; upsell campaigns</t>
        </is>
      </c>
    </row>
    <row r="6" ht="20" customHeight="1">
      <c r="B6" s="30" t="inlineStr">
        <is>
          <t>Enterprise Platform Licenses</t>
        </is>
      </c>
      <c r="C6" s="22" t="inlineStr">
        <is>
          <t>REV-4002</t>
        </is>
      </c>
      <c r="D6" s="12">
        <f>'03_12M_P&amp;L_Forecast'!O7</f>
        <v/>
      </c>
      <c r="E6" s="25" t="n">
        <v>585000</v>
      </c>
      <c r="F6" s="10">
        <f>E6-D6</f>
        <v/>
      </c>
      <c r="G6" s="11">
        <f>F6/D6</f>
        <v/>
      </c>
      <c r="H6" s="60">
        <f>IF(G6&gt;=0, "FAVORABLE", IF(G6&gt;=-0.05, "ON TRACK", "UNFAVORABLE"))</f>
        <v/>
      </c>
      <c r="I6" s="26" t="inlineStr">
        <is>
          <t>Enterprise sales cycle outperforming budget by 12%</t>
        </is>
      </c>
    </row>
    <row r="7" ht="20" customHeight="1">
      <c r="B7" s="30" t="inlineStr">
        <is>
          <t>Professional Implementation</t>
        </is>
      </c>
      <c r="C7" s="22" t="inlineStr">
        <is>
          <t>REV-4003</t>
        </is>
      </c>
      <c r="D7" s="12">
        <f>'03_12M_P&amp;L_Forecast'!O8</f>
        <v/>
      </c>
      <c r="E7" s="25" t="n">
        <v>420000</v>
      </c>
      <c r="F7" s="10">
        <f>E7-D7</f>
        <v/>
      </c>
      <c r="G7" s="11">
        <f>F7/D7</f>
        <v/>
      </c>
      <c r="H7" s="59">
        <f>IF(G7&gt;=0, "FAVORABLE", IF(G7&gt;=-0.05, "ON TRACK", "UNFAVORABLE"))</f>
        <v/>
      </c>
      <c r="I7" s="26" t="inlineStr">
        <is>
          <t>Capacity bottleneck; add senior integration consultant</t>
        </is>
      </c>
    </row>
    <row r="8" ht="20" customHeight="1">
      <c r="B8" s="30" t="inlineStr">
        <is>
          <t>Premium Managed Services &amp; SLA</t>
        </is>
      </c>
      <c r="C8" s="22" t="inlineStr">
        <is>
          <t>REV-4004</t>
        </is>
      </c>
      <c r="D8" s="12">
        <f>'03_12M_P&amp;L_Forecast'!O9</f>
        <v/>
      </c>
      <c r="E8" s="25" t="n">
        <v>280000</v>
      </c>
      <c r="F8" s="10">
        <f>E8-D8</f>
        <v/>
      </c>
      <c r="G8" s="11">
        <f>F8/D8</f>
        <v/>
      </c>
      <c r="H8" s="59">
        <f>IF(G8&gt;=0, "FAVORABLE", IF(G8&gt;=-0.05, "ON TRACK", "UNFAVORABLE"))</f>
        <v/>
      </c>
      <c r="I8" s="26" t="inlineStr">
        <is>
          <t>Renewals on schedule; stable recurring cash flows</t>
        </is>
      </c>
    </row>
    <row r="9" ht="20" customHeight="1">
      <c r="B9" s="30" t="inlineStr">
        <is>
          <t>Direct Hosting &amp; Cloud (COGS)</t>
        </is>
      </c>
      <c r="C9" s="22" t="inlineStr">
        <is>
          <t>COS-5001</t>
        </is>
      </c>
      <c r="D9" s="12">
        <f>'03_12M_P&amp;L_Forecast'!O12</f>
        <v/>
      </c>
      <c r="E9" s="25" t="n">
        <v>48500</v>
      </c>
      <c r="F9" s="10">
        <f>D9-E9</f>
        <v/>
      </c>
      <c r="G9" s="11">
        <f>F9/D9</f>
        <v/>
      </c>
      <c r="H9" s="59">
        <f>IF(G9&gt;=0, "FAVORABLE", IF(G9&gt;=-0.05, "ON TRACK", "UNFAVORABLE"))</f>
        <v/>
      </c>
      <c r="I9" s="26" t="inlineStr">
        <is>
          <t>Reserve multi-year AWS instances to trim unit costs</t>
        </is>
      </c>
    </row>
    <row r="10" ht="20" customHeight="1">
      <c r="B10" s="30" t="inlineStr">
        <is>
          <t>Royalties &amp; Third-Party APIs (COGS)</t>
        </is>
      </c>
      <c r="C10" s="22" t="inlineStr">
        <is>
          <t>COS-5002</t>
        </is>
      </c>
      <c r="D10" s="12">
        <f>'03_12M_P&amp;L_Forecast'!O13</f>
        <v/>
      </c>
      <c r="E10" s="25" t="n">
        <v>102000</v>
      </c>
      <c r="F10" s="10">
        <f>D10-E10</f>
        <v/>
      </c>
      <c r="G10" s="11">
        <f>F10/D10</f>
        <v/>
      </c>
      <c r="H10" s="61">
        <f>IF(G10&gt;=0, "FAVORABLE", IF(G10&gt;=-0.05, "ON TRACK", "UNFAVORABLE"))</f>
        <v/>
      </c>
      <c r="I10" s="26" t="inlineStr">
        <is>
          <t>Renegotiate API rate limits with key LLM/data vendors</t>
        </is>
      </c>
    </row>
    <row r="11" ht="20" customHeight="1">
      <c r="B11" s="30" t="inlineStr">
        <is>
          <t>Contract Engineering (COGS)</t>
        </is>
      </c>
      <c r="C11" s="22" t="inlineStr">
        <is>
          <t>COS-5003</t>
        </is>
      </c>
      <c r="D11" s="12">
        <f>'03_12M_P&amp;L_Forecast'!O14</f>
        <v/>
      </c>
      <c r="E11" s="25" t="n">
        <v>155000</v>
      </c>
      <c r="F11" s="10">
        <f>D11-E11</f>
        <v/>
      </c>
      <c r="G11" s="11">
        <f>F11/D11</f>
        <v/>
      </c>
      <c r="H11" s="61">
        <f>IF(G11&gt;=0, "FAVORABLE", IF(G11&gt;=-0.05, "ON TRACK", "UNFAVORABLE"))</f>
        <v/>
      </c>
      <c r="I11" s="26" t="inlineStr">
        <is>
          <t>In-source recurring tasks to lower external billables</t>
        </is>
      </c>
    </row>
    <row r="12" ht="20" customHeight="1">
      <c r="B12" s="30" t="inlineStr">
        <is>
          <t>Support Engineering &amp; SLA (COGS)</t>
        </is>
      </c>
      <c r="C12" s="22" t="inlineStr">
        <is>
          <t>COS-5004</t>
        </is>
      </c>
      <c r="D12" s="12">
        <f>'03_12M_P&amp;L_Forecast'!O15</f>
        <v/>
      </c>
      <c r="E12" s="25" t="n">
        <v>58000</v>
      </c>
      <c r="F12" s="10">
        <f>D12-E12</f>
        <v/>
      </c>
      <c r="G12" s="11">
        <f>F12/D12</f>
        <v/>
      </c>
      <c r="H12" s="59">
        <f>IF(G12&gt;=0, "FAVORABLE", IF(G12&gt;=-0.05, "ON TRACK", "UNFAVORABLE"))</f>
        <v/>
      </c>
      <c r="I12" s="26" t="inlineStr">
        <is>
          <t>Automation deflection reduced tier-1 ticket volume</t>
        </is>
      </c>
    </row>
    <row r="13" ht="20" customHeight="1">
      <c r="B13" s="30" t="inlineStr">
        <is>
          <t>Salaries, Wages &amp; Benefits</t>
        </is>
      </c>
      <c r="C13" s="22" t="inlineStr">
        <is>
          <t>OPX-6001</t>
        </is>
      </c>
      <c r="D13" s="12">
        <f>'03_12M_P&amp;L_Forecast'!O20</f>
        <v/>
      </c>
      <c r="E13" s="25" t="n">
        <v>475000</v>
      </c>
      <c r="F13" s="10">
        <f>D13-E13</f>
        <v/>
      </c>
      <c r="G13" s="11">
        <f>F13/D13</f>
        <v/>
      </c>
      <c r="H13" s="61">
        <f>IF(G13&gt;=0, "FAVORABLE", IF(G13&gt;=-0.05, "ON TRACK", "UNFAVORABLE"))</f>
        <v/>
      </c>
      <c r="I13" s="26" t="inlineStr">
        <is>
          <t>Headcount ramp delayed by 3 weeks; favorable cost save</t>
        </is>
      </c>
    </row>
    <row r="14" ht="20" customHeight="1">
      <c r="B14" s="30" t="inlineStr">
        <is>
          <t>Paid Digital Marketing &amp; Ads</t>
        </is>
      </c>
      <c r="C14" s="22" t="inlineStr">
        <is>
          <t>OPX-6002</t>
        </is>
      </c>
      <c r="D14" s="12">
        <f>'03_12M_P&amp;L_Forecast'!O21</f>
        <v/>
      </c>
      <c r="E14" s="25" t="n">
        <v>68000</v>
      </c>
      <c r="F14" s="10">
        <f>D14-E14</f>
        <v/>
      </c>
      <c r="G14" s="11">
        <f>F14/D14</f>
        <v/>
      </c>
      <c r="H14" s="61">
        <f>IF(G14&gt;=0, "FAVORABLE", IF(G14&gt;=-0.05, "ON TRACK", "UNFAVORABLE"))</f>
        <v/>
      </c>
      <c r="I14" s="26" t="inlineStr">
        <is>
          <t>CAC increased in Q2; reallocating spend to LinkedIn B2B</t>
        </is>
      </c>
    </row>
    <row r="15" ht="20" customHeight="1">
      <c r="B15" s="30" t="inlineStr">
        <is>
          <t>Cloud Infrastructure (Internal)</t>
        </is>
      </c>
      <c r="C15" s="22" t="inlineStr">
        <is>
          <t>OPX-6003</t>
        </is>
      </c>
      <c r="D15" s="12">
        <f>'03_12M_P&amp;L_Forecast'!O22</f>
        <v/>
      </c>
      <c r="E15" s="25" t="n">
        <v>34000</v>
      </c>
      <c r="F15" s="10">
        <f>D15-E15</f>
        <v/>
      </c>
      <c r="G15" s="11">
        <f>F15/D15</f>
        <v/>
      </c>
      <c r="H15" s="60">
        <f>IF(G15&gt;=0, "FAVORABLE", IF(G15&gt;=-0.05, "ON TRACK", "UNFAVORABLE"))</f>
        <v/>
      </c>
      <c r="I15" s="26" t="inlineStr">
        <is>
          <t>Dev/test server cluster clean-up completed</t>
        </is>
      </c>
    </row>
    <row r="16" ht="20" customHeight="1">
      <c r="B16" s="30" t="inlineStr">
        <is>
          <t>Software Subscriptions &amp; SaaS Tools</t>
        </is>
      </c>
      <c r="C16" s="22" t="inlineStr">
        <is>
          <t>OPX-6004</t>
        </is>
      </c>
      <c r="D16" s="12">
        <f>'03_12M_P&amp;L_Forecast'!O23</f>
        <v/>
      </c>
      <c r="E16" s="25" t="n">
        <v>23500</v>
      </c>
      <c r="F16" s="10">
        <f>D16-E16</f>
        <v/>
      </c>
      <c r="G16" s="11">
        <f>F16/D16</f>
        <v/>
      </c>
      <c r="H16" s="60">
        <f>IF(G16&gt;=0, "FAVORABLE", IF(G16&gt;=-0.05, "ON TRACK", "UNFAVORABLE"))</f>
        <v/>
      </c>
      <c r="I16" s="26" t="inlineStr">
        <is>
          <t>Audit software licenses; eliminate duplicate seats</t>
        </is>
      </c>
    </row>
    <row r="17" ht="20" customHeight="1">
      <c r="B17" s="30" t="inlineStr">
        <is>
          <t>Office Lease &amp; Facilities</t>
        </is>
      </c>
      <c r="C17" s="22" t="inlineStr">
        <is>
          <t>OPX-6005</t>
        </is>
      </c>
      <c r="D17" s="12">
        <f>'03_12M_P&amp;L_Forecast'!O24</f>
        <v/>
      </c>
      <c r="E17" s="25" t="n">
        <v>38400</v>
      </c>
      <c r="F17" s="10">
        <f>D17-E17</f>
        <v/>
      </c>
      <c r="G17" s="11">
        <f>F17/D17</f>
        <v/>
      </c>
      <c r="H17" s="60">
        <f>IF(G17&gt;=0, "FAVORABLE", IF(G17&gt;=-0.05, "ON TRACK", "UNFAVORABLE"))</f>
        <v/>
      </c>
      <c r="I17" s="26" t="inlineStr">
        <is>
          <t>Fixed multi-year lease agreement; on target</t>
        </is>
      </c>
    </row>
    <row r="18" ht="20" customHeight="1">
      <c r="B18" s="30" t="inlineStr">
        <is>
          <t>Legal, Audit &amp; Professional</t>
        </is>
      </c>
      <c r="C18" s="22" t="inlineStr">
        <is>
          <t>OPX-6006</t>
        </is>
      </c>
      <c r="D18" s="12">
        <f>'03_12M_P&amp;L_Forecast'!O25</f>
        <v/>
      </c>
      <c r="E18" s="25" t="n">
        <v>22000</v>
      </c>
      <c r="F18" s="10">
        <f>D18-E18</f>
        <v/>
      </c>
      <c r="G18" s="11">
        <f>F18/D18</f>
        <v/>
      </c>
      <c r="H18" s="60">
        <f>IF(G18&gt;=0, "FAVORABLE", IF(G18&gt;=-0.05, "ON TRACK", "UNFAVORABLE"))</f>
        <v/>
      </c>
      <c r="I18" s="26" t="inlineStr">
        <is>
          <t>Unbudgeted trademark filing fees in Q3</t>
        </is>
      </c>
    </row>
    <row r="19" ht="20" customHeight="1">
      <c r="B19" s="30" t="inlineStr">
        <is>
          <t>Travel &amp; Business Development</t>
        </is>
      </c>
      <c r="C19" s="22" t="inlineStr">
        <is>
          <t>OPX-6007</t>
        </is>
      </c>
      <c r="D19" s="12">
        <f>'03_12M_P&amp;L_Forecast'!O26</f>
        <v/>
      </c>
      <c r="E19" s="25" t="n">
        <v>18500</v>
      </c>
      <c r="F19" s="10">
        <f>D19-E19</f>
        <v/>
      </c>
      <c r="G19" s="11">
        <f>F19/D19</f>
        <v/>
      </c>
      <c r="H19" s="60">
        <f>IF(G19&gt;=0, "FAVORABLE", IF(G19&gt;=-0.05, "ON TRACK", "UNFAVORABLE"))</f>
        <v/>
      </c>
      <c r="I19" s="26" t="inlineStr">
        <is>
          <t>Executive travel capped; pivot to virtual demos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7" customWidth="1" min="3" max="3"/>
    <col width="34" customWidth="1" min="4" max="4"/>
    <col width="40" customWidth="1" min="5" max="5"/>
    <col width="19" customWidth="1" min="6" max="6"/>
    <col width="13" customWidth="1" min="7" max="7"/>
    <col width="40" customWidth="1" min="8" max="8"/>
    <col width="19" customWidth="1" min="9" max="9"/>
    <col width="34" customWidth="1" min="10" max="10"/>
    <col width="19" customWidth="1" min="11" max="11"/>
    <col width="31" customWidth="1" min="12" max="12"/>
  </cols>
  <sheetData>
    <row r="1" ht="28" customHeight="1">
      <c r="A1" s="1" t="inlineStr">
        <is>
          <t xml:space="preserve">  AUTOMATED FINANCIAL DATA INGESTION &amp; CLEANSING PIPELINE</t>
        </is>
      </c>
    </row>
    <row r="2" ht="18" customHeight="1">
      <c r="A2" s="2" t="inlineStr">
        <is>
          <t xml:space="preserve">  Demonstrating Full ETL Transformation: Raw Messy Accounting Ledger -&gt; Automated Audit Trail -&gt; Clean Financial Standard</t>
        </is>
      </c>
    </row>
    <row r="3"/>
    <row r="4" ht="22" customHeight="1">
      <c r="B4" s="62" t="inlineStr">
        <is>
          <t xml:space="preserve">  PIPELINE ARCHITECTURE: Ingests unstructured ERP/Bank journal extracts, resolves entity aliases, parses mixed dates/currencies, removes duplicates, and maps Chart of Accounts into model drivers.</t>
        </is>
      </c>
    </row>
    <row r="5"/>
    <row r="6" ht="22" customHeight="1">
      <c r="B6" s="63" t="inlineStr">
        <is>
          <t xml:space="preserve">  STAGE 1: RAW UNSTRUCTURED ERP JOURNAL EXTRACT (MESSY SOURCE)</t>
        </is>
      </c>
      <c r="H6" s="64" t="inlineStr">
        <is>
          <t xml:space="preserve">  STAGE 2: CLEAN AUDITED LEDGER (DASHBOARD &amp; MODEL READY)</t>
        </is>
      </c>
    </row>
    <row r="7" ht="22" customHeight="1">
      <c r="B7" s="65" t="inlineStr">
        <is>
          <t>Raw Tx ID</t>
        </is>
      </c>
      <c r="C7" s="65" t="inlineStr">
        <is>
          <t>Raw Date Stamp</t>
        </is>
      </c>
      <c r="D7" s="65" t="inlineStr">
        <is>
          <t>Raw Counterparty / Vendor</t>
        </is>
      </c>
      <c r="E7" s="65" t="inlineStr">
        <is>
          <t>Raw Amount String</t>
        </is>
      </c>
      <c r="F7" s="65" t="inlineStr">
        <is>
          <t>Raw Account Code</t>
        </is>
      </c>
      <c r="H7" s="27" t="inlineStr">
        <is>
          <t>Clean Tx ID</t>
        </is>
      </c>
      <c r="I7" s="27" t="inlineStr">
        <is>
          <t>ISO Posting Date</t>
        </is>
      </c>
      <c r="J7" s="27" t="inlineStr">
        <is>
          <t>Master Counterparty</t>
        </is>
      </c>
      <c r="K7" s="27" t="inlineStr">
        <is>
          <t>Clean Amount ($)</t>
        </is>
      </c>
      <c r="L7" s="27" t="inlineStr">
        <is>
          <t>Standard GL Category</t>
        </is>
      </c>
    </row>
    <row r="8" ht="19" customHeight="1">
      <c r="B8" s="66" t="inlineStr">
        <is>
          <t xml:space="preserve">TX-9021 </t>
        </is>
      </c>
      <c r="C8" s="66" t="inlineStr">
        <is>
          <t xml:space="preserve"> 2026/01/14 </t>
        </is>
      </c>
      <c r="D8" s="67" t="inlineStr">
        <is>
          <t xml:space="preserve">  amazon web services inc  </t>
        </is>
      </c>
      <c r="E8" s="67" t="inlineStr">
        <is>
          <t>$ 4,250.00 USD</t>
        </is>
      </c>
      <c r="F8" s="67" t="inlineStr">
        <is>
          <t>NULL</t>
        </is>
      </c>
      <c r="H8" s="68" t="inlineStr">
        <is>
          <t>TX-9021</t>
        </is>
      </c>
      <c r="I8" s="68" t="inlineStr">
        <is>
          <t>2026-01-14</t>
        </is>
      </c>
      <c r="J8" s="69" t="inlineStr">
        <is>
          <t>Amazon Web Services (AWS)</t>
        </is>
      </c>
      <c r="K8" s="70" t="n">
        <v>4250</v>
      </c>
      <c r="L8" s="69" t="inlineStr">
        <is>
          <t>Cloud Infrastructure (COGS)</t>
        </is>
      </c>
    </row>
    <row r="9" ht="19" customHeight="1">
      <c r="B9" s="66" t="inlineStr">
        <is>
          <t>TX-9022</t>
        </is>
      </c>
      <c r="C9" s="66" t="inlineStr">
        <is>
          <t>14-Jan-2026</t>
        </is>
      </c>
      <c r="D9" s="67" t="inlineStr">
        <is>
          <t>AWS CLOUD SVCS</t>
        </is>
      </c>
      <c r="E9" s="67" t="inlineStr">
        <is>
          <t>(4,250.00)</t>
        </is>
      </c>
      <c r="F9" s="67" t="inlineStr">
        <is>
          <t>6002-ops</t>
        </is>
      </c>
      <c r="H9" s="68" t="inlineStr">
        <is>
          <t>TX-9022</t>
        </is>
      </c>
      <c r="I9" s="68" t="inlineStr">
        <is>
          <t>2026-01-14</t>
        </is>
      </c>
      <c r="J9" s="69" t="inlineStr">
        <is>
          <t>Amazon Web Services (AWS)</t>
        </is>
      </c>
      <c r="K9" s="70" t="n">
        <v>4250</v>
      </c>
      <c r="L9" s="69" t="inlineStr">
        <is>
          <t>Cloud Infrastructure (COGS)</t>
        </is>
      </c>
    </row>
    <row r="10" ht="19" customHeight="1">
      <c r="B10" s="66" t="inlineStr">
        <is>
          <t>TX-9023</t>
        </is>
      </c>
      <c r="C10" s="66" t="inlineStr">
        <is>
          <t>2026.01.18</t>
        </is>
      </c>
      <c r="D10" s="67" t="inlineStr">
        <is>
          <t>MICROSOFT IRELAND / AZURE</t>
        </is>
      </c>
      <c r="E10" s="67" t="inlineStr">
        <is>
          <t>1280.50 $</t>
        </is>
      </c>
      <c r="F10" s="67" t="inlineStr">
        <is>
          <t>6004-sub</t>
        </is>
      </c>
      <c r="H10" s="68" t="inlineStr">
        <is>
          <t>TX-9023</t>
        </is>
      </c>
      <c r="I10" s="68" t="inlineStr">
        <is>
          <t>2026-01-18</t>
        </is>
      </c>
      <c r="J10" s="69" t="inlineStr">
        <is>
          <t>Microsoft Azure Cloud</t>
        </is>
      </c>
      <c r="K10" s="70" t="n">
        <v>1280.5</v>
      </c>
      <c r="L10" s="69" t="inlineStr">
        <is>
          <t>Software SaaS Subscriptions</t>
        </is>
      </c>
    </row>
    <row r="11" ht="19" customHeight="1">
      <c r="B11" s="66" t="inlineStr">
        <is>
          <t>TX-9024</t>
        </is>
      </c>
      <c r="C11" s="66" t="inlineStr">
        <is>
          <t>01/22/2026</t>
        </is>
      </c>
      <c r="D11" s="67" t="inlineStr">
        <is>
          <t>google *workspace gsuite</t>
        </is>
      </c>
      <c r="E11" s="67" t="inlineStr">
        <is>
          <t>$ 640.00</t>
        </is>
      </c>
      <c r="F11" s="67" t="inlineStr">
        <is>
          <t>gsuite</t>
        </is>
      </c>
      <c r="H11" s="68" t="inlineStr">
        <is>
          <t>TX-9024</t>
        </is>
      </c>
      <c r="I11" s="68" t="inlineStr">
        <is>
          <t>2026-01-22</t>
        </is>
      </c>
      <c r="J11" s="69" t="inlineStr">
        <is>
          <t>Google Workspace</t>
        </is>
      </c>
      <c r="K11" s="70" t="n">
        <v>640</v>
      </c>
      <c r="L11" s="69" t="inlineStr">
        <is>
          <t>Software SaaS Subscriptions</t>
        </is>
      </c>
    </row>
    <row r="12" ht="19" customHeight="1">
      <c r="B12" s="66" t="inlineStr">
        <is>
          <t>TX-9025</t>
        </is>
      </c>
      <c r="C12" s="66" t="inlineStr">
        <is>
          <t>2026-01-25</t>
        </is>
      </c>
      <c r="D12" s="67" t="inlineStr">
        <is>
          <t>Stripe Inc (Payment Processing)</t>
        </is>
      </c>
      <c r="E12" s="67" t="inlineStr">
        <is>
          <t>1820.00 USD</t>
        </is>
      </c>
      <c r="F12" s="67" t="inlineStr">
        <is>
          <t>rev-proc</t>
        </is>
      </c>
      <c r="H12" s="68" t="inlineStr">
        <is>
          <t>TX-9025</t>
        </is>
      </c>
      <c r="I12" s="68" t="inlineStr">
        <is>
          <t>2026-01-25</t>
        </is>
      </c>
      <c r="J12" s="69" t="inlineStr">
        <is>
          <t>Stripe Payment Gateway</t>
        </is>
      </c>
      <c r="K12" s="70" t="n">
        <v>1820</v>
      </c>
      <c r="L12" s="69" t="inlineStr">
        <is>
          <t>Payment Gateway Fees (COGS)</t>
        </is>
      </c>
    </row>
    <row r="13" ht="19" customHeight="1">
      <c r="B13" s="66" t="inlineStr">
        <is>
          <t xml:space="preserve">TX-9026 </t>
        </is>
      </c>
      <c r="C13" s="66" t="inlineStr">
        <is>
          <t>25/01/2026</t>
        </is>
      </c>
      <c r="D13" s="67" t="inlineStr">
        <is>
          <t>STRIPE PAYMENTS</t>
        </is>
      </c>
      <c r="E13" s="67" t="inlineStr">
        <is>
          <t xml:space="preserve">$1,820.00 </t>
        </is>
      </c>
      <c r="F13" s="67" t="inlineStr">
        <is>
          <t>COGS-30</t>
        </is>
      </c>
      <c r="H13" s="68" t="inlineStr">
        <is>
          <t>TX-9026</t>
        </is>
      </c>
      <c r="I13" s="68" t="inlineStr">
        <is>
          <t>2026-01-25</t>
        </is>
      </c>
      <c r="J13" s="69" t="inlineStr">
        <is>
          <t>Stripe Payment Gateway</t>
        </is>
      </c>
      <c r="K13" s="70" t="n">
        <v>1820</v>
      </c>
      <c r="L13" s="69" t="inlineStr">
        <is>
          <t>Payment Gateway Fees (COGS)</t>
        </is>
      </c>
    </row>
    <row r="14" ht="19" customHeight="1">
      <c r="B14" s="66" t="inlineStr">
        <is>
          <t>TX-9027</t>
        </is>
      </c>
      <c r="C14" s="66" t="inlineStr">
        <is>
          <t>2026-02-02</t>
        </is>
      </c>
      <c r="D14" s="67" t="inlineStr">
        <is>
          <t>WeWork Global Management LLC</t>
        </is>
      </c>
      <c r="E14" s="67" t="inlineStr">
        <is>
          <t xml:space="preserve"> $3,200.00</t>
        </is>
      </c>
      <c r="F14" s="67" t="inlineStr">
        <is>
          <t>RENT-HQ</t>
        </is>
      </c>
      <c r="H14" s="68" t="inlineStr">
        <is>
          <t>TX-9027</t>
        </is>
      </c>
      <c r="I14" s="68" t="inlineStr">
        <is>
          <t>2026-02-02</t>
        </is>
      </c>
      <c r="J14" s="69" t="inlineStr">
        <is>
          <t>WeWork HQ Facilities</t>
        </is>
      </c>
      <c r="K14" s="70" t="n">
        <v>3200</v>
      </c>
      <c r="L14" s="69" t="inlineStr">
        <is>
          <t>Office Lease &amp; Facilities</t>
        </is>
      </c>
    </row>
    <row r="15" ht="19" customHeight="1">
      <c r="B15" s="66" t="inlineStr">
        <is>
          <t>TX-9028</t>
        </is>
      </c>
      <c r="C15" s="66" t="inlineStr">
        <is>
          <t>2026-02-10</t>
        </is>
      </c>
      <c r="D15" s="67" t="inlineStr">
        <is>
          <t>Gartner Advisory Group</t>
        </is>
      </c>
      <c r="E15" s="67" t="inlineStr">
        <is>
          <t>$ 12,500.00</t>
        </is>
      </c>
      <c r="F15" s="67" t="inlineStr">
        <is>
          <t>CONSULT</t>
        </is>
      </c>
      <c r="H15" s="68" t="inlineStr">
        <is>
          <t>TX-9028</t>
        </is>
      </c>
      <c r="I15" s="68" t="inlineStr">
        <is>
          <t>2026-02-10</t>
        </is>
      </c>
      <c r="J15" s="69" t="inlineStr">
        <is>
          <t>Gartner Advisory Services</t>
        </is>
      </c>
      <c r="K15" s="70" t="n">
        <v>12500</v>
      </c>
      <c r="L15" s="69" t="inlineStr">
        <is>
          <t>Legal, Audit &amp; Professional</t>
        </is>
      </c>
    </row>
    <row r="16" ht="19" customHeight="1">
      <c r="B16" s="66" t="inlineStr">
        <is>
          <t>TX-9029</t>
        </is>
      </c>
      <c r="C16" s="66" t="inlineStr">
        <is>
          <t>2026-02-15</t>
        </is>
      </c>
      <c r="D16" s="67" t="inlineStr">
        <is>
          <t>LINKEDIN MARKETING SOL</t>
        </is>
      </c>
      <c r="E16" s="67" t="inlineStr">
        <is>
          <t>$ 2,850.00</t>
        </is>
      </c>
      <c r="F16" s="67" t="inlineStr">
        <is>
          <t>MKT-AD</t>
        </is>
      </c>
      <c r="H16" s="68" t="inlineStr">
        <is>
          <t>TX-9029</t>
        </is>
      </c>
      <c r="I16" s="68" t="inlineStr">
        <is>
          <t>2026-02-15</t>
        </is>
      </c>
      <c r="J16" s="69" t="inlineStr">
        <is>
          <t>LinkedIn B2B Advertising</t>
        </is>
      </c>
      <c r="K16" s="70" t="n">
        <v>2850</v>
      </c>
      <c r="L16" s="69" t="inlineStr">
        <is>
          <t>Paid Digital Marketing &amp; Ads</t>
        </is>
      </c>
    </row>
    <row r="17" ht="19" customHeight="1">
      <c r="B17" s="66" t="inlineStr">
        <is>
          <t>TX-9030</t>
        </is>
      </c>
      <c r="C17" s="66" t="inlineStr">
        <is>
          <t>VOID-TRANS</t>
        </is>
      </c>
      <c r="D17" s="67" t="inlineStr">
        <is>
          <t>Duplicate VOID Entry</t>
        </is>
      </c>
      <c r="E17" s="67" t="inlineStr">
        <is>
          <t>$ 0.00</t>
        </is>
      </c>
      <c r="F17" s="67" t="inlineStr">
        <is>
          <t>VOID</t>
        </is>
      </c>
      <c r="H17" s="68" t="inlineStr">
        <is>
          <t>TX-9030</t>
        </is>
      </c>
      <c r="I17" s="68" t="inlineStr">
        <is>
          <t>FILTERED</t>
        </is>
      </c>
      <c r="J17" s="71" t="inlineStr">
        <is>
          <t>[REMOVED: VOID / DUPLICATE]</t>
        </is>
      </c>
      <c r="K17" s="70" t="n">
        <v>0</v>
      </c>
      <c r="L17" s="69" t="inlineStr">
        <is>
          <t>[EXCLUDED FROM P&amp;L]</t>
        </is>
      </c>
    </row>
    <row r="18" ht="19" customHeight="1">
      <c r="B18" s="66" t="inlineStr">
        <is>
          <t>TX-9031</t>
        </is>
      </c>
      <c r="C18" s="66" t="inlineStr">
        <is>
          <t>2026-02-28</t>
        </is>
      </c>
      <c r="D18" s="67" t="inlineStr">
        <is>
          <t>ADP TotalSource Payroll Tax</t>
        </is>
      </c>
      <c r="E18" s="67" t="inlineStr">
        <is>
          <t>$ 42,500.00</t>
        </is>
      </c>
      <c r="F18" s="67" t="inlineStr">
        <is>
          <t>PAYROLL</t>
        </is>
      </c>
      <c r="H18" s="68" t="inlineStr">
        <is>
          <t>TX-9031</t>
        </is>
      </c>
      <c r="I18" s="68" t="inlineStr">
        <is>
          <t>2026-02-28</t>
        </is>
      </c>
      <c r="J18" s="69" t="inlineStr">
        <is>
          <t>ADP Payroll &amp; Tax Solutions</t>
        </is>
      </c>
      <c r="K18" s="70" t="n">
        <v>42500</v>
      </c>
      <c r="L18" s="69" t="inlineStr">
        <is>
          <t>Salaries, Wages &amp; Benefits</t>
        </is>
      </c>
    </row>
    <row r="19" ht="19" customHeight="1">
      <c r="B19" s="66" t="inlineStr">
        <is>
          <t>TX-9032</t>
        </is>
      </c>
      <c r="C19" s="66" t="inlineStr">
        <is>
          <t>2026-03-05</t>
        </is>
      </c>
      <c r="D19" s="67" t="inlineStr">
        <is>
          <t>Slack Technologies / Salesforce</t>
        </is>
      </c>
      <c r="E19" s="67" t="inlineStr">
        <is>
          <t>$ 850.00</t>
        </is>
      </c>
      <c r="F19" s="67" t="inlineStr">
        <is>
          <t>6004</t>
        </is>
      </c>
      <c r="H19" s="68" t="inlineStr">
        <is>
          <t>TX-9032</t>
        </is>
      </c>
      <c r="I19" s="68" t="inlineStr">
        <is>
          <t>2026-03-05</t>
        </is>
      </c>
      <c r="J19" s="69" t="inlineStr">
        <is>
          <t>Slack Technologies / Salesforce</t>
        </is>
      </c>
      <c r="K19" s="70" t="n">
        <v>850</v>
      </c>
      <c r="L19" s="69" t="inlineStr">
        <is>
          <t>Software SaaS Subscriptions</t>
        </is>
      </c>
    </row>
    <row r="20"/>
    <row r="21"/>
    <row r="22" ht="22" customHeight="1">
      <c r="B22" s="17" t="inlineStr">
        <is>
          <t xml:space="preserve">  AUDITABLE ETL &amp; DATA HYGIENE SPECIFICATION APPLIED IN MODEL</t>
        </is>
      </c>
    </row>
    <row r="23" ht="20" customHeight="1">
      <c r="B23" s="13" t="inlineStr">
        <is>
          <t xml:space="preserve">  Step 1: String Trimming &amp; Deduplication</t>
        </is>
      </c>
      <c r="E23" s="18" t="inlineStr">
        <is>
          <t xml:space="preserve">  Stripped leading/trailing ASCII whitespace and newline characters from Transaction IDs and Counterparty strings; flagged void duplicates.</t>
        </is>
      </c>
    </row>
    <row r="24" ht="20" customHeight="1">
      <c r="B24" s="13" t="inlineStr">
        <is>
          <t xml:space="preserve">  Step 2: Universal Date Normalization</t>
        </is>
      </c>
      <c r="E24" s="18" t="inlineStr">
        <is>
          <t xml:space="preserve">  Parsed 4 heterogeneous date formats ('YYYY/MM/DD', 'DD-MMM-YYYY', 'MM/DD/YYYY', 'YYYY.MM.DD') into ISO 8601 standard (YYYY-MM-DD).</t>
        </is>
      </c>
    </row>
    <row r="25" ht="20" customHeight="1">
      <c r="B25" s="13" t="inlineStr">
        <is>
          <t xml:space="preserve">  Step 3: Fuzzy Entity Resolution</t>
        </is>
      </c>
      <c r="E25" s="18" t="inlineStr">
        <is>
          <t xml:space="preserve">  Normalized vendor aliases ('AWS CLOUD SVCS', 'amazon web services inc') into unified Master Counterparty 'Amazon Web Services (AWS)'.</t>
        </is>
      </c>
    </row>
    <row r="26" ht="20" customHeight="1">
      <c r="B26" s="13" t="inlineStr">
        <is>
          <t xml:space="preserve">  Step 4: Financial String Sanitization</t>
        </is>
      </c>
      <c r="E26" s="18" t="inlineStr">
        <is>
          <t xml:space="preserve">  Removed currency characters ('$', 'USD'), stripped commas, resolved accounting parentheses '(4,250.00)' into positive debit expenses.</t>
        </is>
      </c>
    </row>
    <row r="27" ht="20" customHeight="1">
      <c r="B27" s="13" t="inlineStr">
        <is>
          <t xml:space="preserve">  Step 5: Chart of Accounts (COA) Mapping</t>
        </is>
      </c>
      <c r="E27" s="18" t="inlineStr">
        <is>
          <t xml:space="preserve">  Mapped unclassified GL codes ('6002-ops', 'NULL', 'gsuite') into structured P&amp;L Expense Drivers (Cloud COGS, SaaS, Facilities).</t>
        </is>
      </c>
    </row>
  </sheetData>
  <mergeCells count="16">
    <mergeCell ref="B4:L4"/>
    <mergeCell ref="A2:L2"/>
    <mergeCell ref="E26:L26"/>
    <mergeCell ref="B6:F6"/>
    <mergeCell ref="B23:D23"/>
    <mergeCell ref="H6:L6"/>
    <mergeCell ref="E25:L25"/>
    <mergeCell ref="A1:L1"/>
    <mergeCell ref="B25:D25"/>
    <mergeCell ref="B26:D26"/>
    <mergeCell ref="E24:L24"/>
    <mergeCell ref="B27:D27"/>
    <mergeCell ref="B22:L22"/>
    <mergeCell ref="E27:L27"/>
    <mergeCell ref="E23:L23"/>
    <mergeCell ref="B24:D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 xml:space="preserve">  FINANCIAL MODEL DOCUMENTATION &amp; OPERATIONAL GUIDEBOOK</t>
        </is>
      </c>
    </row>
    <row r="2" ht="18" customHeight="1">
      <c r="A2" s="2" t="inlineStr">
        <is>
          <t xml:space="preserve">  Architecture Principles, Color Codes, Formula Audit Trails &amp; Monthly Maintenance Procedures</t>
        </is>
      </c>
    </row>
    <row r="3"/>
    <row r="4"/>
    <row r="5" ht="22" customHeight="1">
      <c r="B5" s="7" t="inlineStr">
        <is>
          <t xml:space="preserve">  1. MODEL ARCHITECTURE &amp; FINANCIAL LOGIC</t>
        </is>
      </c>
    </row>
    <row r="6" ht="22" customHeight="1">
      <c r="B6" s="13" t="inlineStr">
        <is>
          <t xml:space="preserve">  Dynamic Three-Tier Linkage</t>
        </is>
      </c>
      <c r="C6" s="18" t="inlineStr">
        <is>
          <t xml:space="preserve">  All financial statements (P&amp;L, Cash Flow, BvA) dynamically cascade from '02_Assumptions_&amp;_Drivers'. No numbers are hardcoded within calculation tabs.</t>
        </is>
      </c>
    </row>
    <row r="7" ht="22" customHeight="1">
      <c r="B7" s="13" t="inlineStr">
        <is>
          <t xml:space="preserve">  FAST Standard Color Legend</t>
        </is>
      </c>
      <c r="C7" s="18" t="inlineStr">
        <is>
          <t xml:space="preserve">  Blue text with soft-green background indicates an editable assumption. Black text with standard borders indicates a formula cell that should NOT be overwritten.</t>
        </is>
      </c>
    </row>
    <row r="8" ht="22" customHeight="1">
      <c r="B8" s="13" t="inlineStr">
        <is>
          <t xml:space="preserve">  Direct Method Cash Flow</t>
        </is>
      </c>
      <c r="C8" s="18" t="inlineStr">
        <is>
          <t xml:space="preserve">  Operating cash collections model 30-day DSO customer payment lag. Operating disbursements reflect realistic 30-day vendor lag to prevent cash surprise.</t>
        </is>
      </c>
    </row>
    <row r="9"/>
    <row r="10" ht="22" customHeight="1">
      <c r="B10" s="7" t="inlineStr">
        <is>
          <t xml:space="preserve">  2. MONTHLY UPDATE &amp; CLOSE PROCEDURES</t>
        </is>
      </c>
    </row>
    <row r="11" ht="22" customHeight="1">
      <c r="B11" s="13" t="inlineStr">
        <is>
          <t xml:space="preserve">  Step 1: Input Actuals</t>
        </is>
      </c>
      <c r="C11" s="18" t="inlineStr">
        <is>
          <t xml:space="preserve">  Open sheet '05_Budget_vs_Actuals' at month close. Enter actual revenue and expenses into Column E (soft green cells).</t>
        </is>
      </c>
    </row>
    <row r="12" ht="22" customHeight="1">
      <c r="B12" s="13" t="inlineStr">
        <is>
          <t xml:space="preserve">  Step 2: Review Variance Flags</t>
        </is>
      </c>
      <c r="C12" s="18" t="inlineStr">
        <is>
          <t xml:space="preserve">  Inspect Column H for 'UNFAVORABLE' alerts (&gt;5% adverse variance) and record operational mitigation actions in Column I.</t>
        </is>
      </c>
    </row>
    <row r="13" ht="22" customHeight="1">
      <c r="B13" s="13" t="inlineStr">
        <is>
          <t xml:space="preserve">  Step 3: Update Hiring Roster</t>
        </is>
      </c>
      <c r="C13" s="18" t="inlineStr">
        <is>
          <t xml:space="preserve">  If planned employee start dates change, adjust Column E ('Start Month') in '02_Assumptions_&amp;_Drivers' to recalculate payroll.</t>
        </is>
      </c>
    </row>
    <row r="14" ht="22" customHeight="1">
      <c r="B14" s="13" t="inlineStr">
        <is>
          <t xml:space="preserve">  Step 4: Present Executive Scorecard</t>
        </is>
      </c>
      <c r="C14" s="18" t="inlineStr">
        <is>
          <t xml:space="preserve">  The '01_Executive_Dashboard' automatically refreshes quarterly KPIs, chart visualizations, and ending liquidity.</t>
        </is>
      </c>
    </row>
    <row r="15"/>
    <row r="16" ht="22" customHeight="1">
      <c r="B16" s="7" t="inlineStr">
        <is>
          <t xml:space="preserve">  3. KEY PERFORMANCE RATIO DEFINITIONS</t>
        </is>
      </c>
    </row>
    <row r="17" ht="22" customHeight="1">
      <c r="B17" s="13" t="inlineStr">
        <is>
          <t xml:space="preserve">  Gross Margin %</t>
        </is>
      </c>
      <c r="C17" s="18" t="inlineStr">
        <is>
          <t xml:space="preserve">  Gross Profit divided by Gross Revenue. Measures unit profitability before fixed operational overhead.</t>
        </is>
      </c>
    </row>
    <row r="18" ht="22" customHeight="1">
      <c r="B18" s="13" t="inlineStr">
        <is>
          <t xml:space="preserve">  EBITDA</t>
        </is>
      </c>
      <c r="C18" s="18" t="inlineStr">
        <is>
          <t xml:space="preserve">  Earnings Before Interest, Taxes, Depreciation, and Amortization. Evaluates pure core operational cash profitability.</t>
        </is>
      </c>
    </row>
    <row r="19" ht="22" customHeight="1">
      <c r="B19" s="13" t="inlineStr">
        <is>
          <t xml:space="preserve">  Cash Runway</t>
        </is>
      </c>
      <c r="C19" s="18" t="inlineStr">
        <is>
          <t xml:space="preserve">  Ending Cash Balance divided by Net Monthly Burn. Indicates remaining operational runway before capital depletion.</t>
        </is>
      </c>
    </row>
    <row r="20" ht="22" customHeight="1">
      <c r="B20" s="13" t="inlineStr">
        <is>
          <t xml:space="preserve">  Days Sales Outstanding (DSO)</t>
        </is>
      </c>
      <c r="C20" s="18" t="inlineStr">
        <is>
          <t xml:space="preserve">  Average number of days required to collect cash payments following invoice issuance (assumed at 30 days).</t>
        </is>
      </c>
    </row>
  </sheetData>
  <mergeCells count="16">
    <mergeCell ref="B16:G16"/>
    <mergeCell ref="C7:G7"/>
    <mergeCell ref="B10:G10"/>
    <mergeCell ref="C20:G20"/>
    <mergeCell ref="C12:G12"/>
    <mergeCell ref="B5:G5"/>
    <mergeCell ref="C6:G6"/>
    <mergeCell ref="A2:H2"/>
    <mergeCell ref="C11:G11"/>
    <mergeCell ref="C19:G19"/>
    <mergeCell ref="C14:G14"/>
    <mergeCell ref="A1:H1"/>
    <mergeCell ref="C13:G13"/>
    <mergeCell ref="C8:G8"/>
    <mergeCell ref="C18:G18"/>
    <mergeCell ref="C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2026-09-21T20:48:25Z</dcterms:created>
  <dcterms:modified xmlns:dcterms="http://purl.org/dc/terms/" xmlns:xsi="http://www.w3.org/2001/XMLSchema-instance" xsi:type="dcterms:W3CDTF">2026-09-21T20:48:26Z</dcterms:modified>
</cp:coreProperties>
</file>