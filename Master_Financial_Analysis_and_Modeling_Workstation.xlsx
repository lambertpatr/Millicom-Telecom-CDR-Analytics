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Executive_Dashboard" sheetId="1" state="visible" r:id="rId1"/>
    <sheet xmlns:r="http://schemas.openxmlformats.org/officeDocument/2006/relationships" name="02_Assumptions_&amp;_Scenarios" sheetId="2" state="visible" r:id="rId2"/>
    <sheet xmlns:r="http://schemas.openxmlformats.org/officeDocument/2006/relationships" name="03_3_Statement_Model" sheetId="3" state="visible" r:id="rId3"/>
    <sheet xmlns:r="http://schemas.openxmlformats.org/officeDocument/2006/relationships" name="04_Valuation_DCF" sheetId="4" state="visible" r:id="rId4"/>
    <sheet xmlns:r="http://schemas.openxmlformats.org/officeDocument/2006/relationships" name="05_Debt_&amp;_Depreciation" sheetId="5" state="visible" r:id="rId5"/>
    <sheet xmlns:r="http://schemas.openxmlformats.org/officeDocument/2006/relationships" name="06_Budget_vs_Actual_BvA" sheetId="6" state="visible" r:id="rId6"/>
    <sheet xmlns:r="http://schemas.openxmlformats.org/officeDocument/2006/relationships" name="07_Advanced_Formula_Lab" sheetId="7" state="visible" r:id="rId7"/>
    <sheet xmlns:r="http://schemas.openxmlformats.org/officeDocument/2006/relationships" name="08_Formula_Glossary_&amp;_Guid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9">
    <numFmt numFmtId="164" formatCode="$#,##0"/>
    <numFmt numFmtId="165" formatCode="0.0%"/>
    <numFmt numFmtId="166" formatCode="$#,##0;($#,##0);&quot;BALANCED ✓&quot;"/>
    <numFmt numFmtId="167" formatCode="0.0"/>
    <numFmt numFmtId="168" formatCode="0.0000"/>
    <numFmt numFmtId="169" formatCode="$#,##0.0"/>
    <numFmt numFmtId="170" formatCode="$#,##0.00"/>
    <numFmt numFmtId="171" formatCode="$#,##0;($#,##0);&quot;-&quot;"/>
    <numFmt numFmtId="172" formatCode="+0.0%;-0.0%;0.0%"/>
  </numFmts>
  <fonts count="11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0F172A"/>
      <sz val="11"/>
    </font>
    <font>
      <name val="Calibri"/>
      <b val="1"/>
      <color rgb="001E3A8A"/>
      <sz val="12"/>
    </font>
    <font>
      <name val="Calibri"/>
      <i val="1"/>
      <color rgb="0064748B"/>
      <sz val="9"/>
    </font>
    <font>
      <name val="Calibri"/>
      <b val="1"/>
      <color rgb="0064748B"/>
      <sz val="9"/>
    </font>
    <font>
      <name val="Calibri"/>
      <b val="1"/>
      <color rgb="001B365D"/>
      <sz val="16"/>
    </font>
    <font>
      <name val="Calibri"/>
      <b val="1"/>
      <color rgb="00FFFFFF"/>
      <sz val="12"/>
    </font>
    <font>
      <name val="Calibri"/>
      <color rgb="001E293B"/>
      <sz val="10"/>
    </font>
    <font>
      <name val="Consolas"/>
      <color rgb="000369A1"/>
      <sz val="9"/>
    </font>
    <font>
      <name val="Calibri"/>
      <b val="1"/>
      <color rgb="0015803D"/>
      <sz val="9"/>
    </font>
  </fonts>
  <fills count="10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EF3C7"/>
        <bgColor rgb="00FEF3C7"/>
      </patternFill>
    </fill>
    <fill>
      <patternFill patternType="solid">
        <fgColor rgb="00F1F5F9"/>
        <bgColor rgb="00F1F5F9"/>
      </patternFill>
    </fill>
    <fill>
      <patternFill patternType="solid">
        <fgColor rgb="002C5282"/>
        <bgColor rgb="002C5282"/>
      </patternFill>
    </fill>
    <fill>
      <patternFill patternType="solid">
        <fgColor rgb="00E2E8F0"/>
        <bgColor rgb="00E2E8F0"/>
      </patternFill>
    </fill>
    <fill>
      <patternFill patternType="solid">
        <fgColor rgb="00F8FAFC"/>
        <bgColor rgb="00F8FAFC"/>
      </patternFill>
    </fill>
    <fill>
      <patternFill patternType="solid">
        <fgColor rgb="001E293B"/>
        <bgColor rgb="001E293B"/>
      </patternFill>
    </fill>
    <fill>
      <patternFill patternType="solid">
        <fgColor rgb="00CBD5E1"/>
        <bgColor rgb="00CBD5E1"/>
      </patternFill>
    </fill>
  </fills>
  <borders count="4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top style="thin">
        <color rgb="00CBD5E1"/>
      </top>
      <bottom style="thin">
        <color rgb="00CBD5E1"/>
      </bottom>
    </border>
    <border>
      <top style="thin">
        <color rgb="000F172A"/>
      </top>
      <bottom style="double">
        <color rgb="000F172A"/>
      </bottom>
    </border>
  </borders>
  <cellStyleXfs count="1">
    <xf numFmtId="0" fontId="0" fillId="0" borderId="0"/>
  </cellStyleXfs>
  <cellXfs count="8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1" applyAlignment="1" pivotButton="0" quotePrefix="0" xfId="0">
      <alignment horizontal="center"/>
    </xf>
    <xf numFmtId="0" fontId="4" fillId="0" borderId="0" pivotButton="0" quotePrefix="0" xfId="0"/>
    <xf numFmtId="0" fontId="5" fillId="4" borderId="1" applyAlignment="1" pivotButton="0" quotePrefix="0" xfId="0">
      <alignment horizontal="center" vertical="center"/>
    </xf>
    <xf numFmtId="0" fontId="0" fillId="0" borderId="1" pivotButton="0" quotePrefix="0" xfId="0"/>
    <xf numFmtId="164" fontId="6" fillId="4" borderId="1" applyAlignment="1" pivotButton="0" quotePrefix="0" xfId="0">
      <alignment horizontal="center" vertical="center"/>
    </xf>
    <xf numFmtId="165" fontId="6" fillId="4" borderId="1" applyAlignment="1" pivotButton="0" quotePrefix="0" xfId="0">
      <alignment horizontal="center" vertical="center"/>
    </xf>
    <xf numFmtId="0" fontId="7" fillId="5" borderId="0" applyAlignment="1" pivotButton="0" quotePrefix="0" xfId="0">
      <alignment horizontal="left" vertical="center"/>
    </xf>
    <xf numFmtId="0" fontId="8" fillId="0" borderId="0" pivotButton="0" quotePrefix="0" xfId="0"/>
    <xf numFmtId="0" fontId="7" fillId="5" borderId="0" pivotButton="0" quotePrefix="0" xfId="0"/>
    <xf numFmtId="0" fontId="2" fillId="6" borderId="1" applyAlignment="1" pivotButton="0" quotePrefix="0" xfId="0">
      <alignment horizontal="left"/>
    </xf>
    <xf numFmtId="0" fontId="2" fillId="6" borderId="1" applyAlignment="1" pivotButton="0" quotePrefix="0" xfId="0">
      <alignment horizontal="right"/>
    </xf>
    <xf numFmtId="0" fontId="2" fillId="7" borderId="1" applyAlignment="1" pivotButton="0" quotePrefix="0" xfId="0">
      <alignment horizontal="left"/>
    </xf>
    <xf numFmtId="164" fontId="8" fillId="7" borderId="1" applyAlignment="1" pivotButton="0" quotePrefix="0" xfId="0">
      <alignment horizontal="right"/>
    </xf>
    <xf numFmtId="165" fontId="8" fillId="7" borderId="1" applyAlignment="1" pivotButton="0" quotePrefix="0" xfId="0">
      <alignment horizontal="right"/>
    </xf>
    <xf numFmtId="0" fontId="2" fillId="0" borderId="1" applyAlignment="1" pivotButton="0" quotePrefix="0" xfId="0">
      <alignment horizontal="left"/>
    </xf>
    <xf numFmtId="164" fontId="8" fillId="0" borderId="1" applyAlignment="1" pivotButton="0" quotePrefix="0" xfId="0">
      <alignment horizontal="right"/>
    </xf>
    <xf numFmtId="165" fontId="8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/>
    </xf>
    <xf numFmtId="0" fontId="8" fillId="0" borderId="1" applyAlignment="1" pivotButton="0" quotePrefix="0" xfId="0">
      <alignment horizontal="center"/>
    </xf>
    <xf numFmtId="0" fontId="2" fillId="6" borderId="1" pivotButton="0" quotePrefix="0" xfId="0"/>
    <xf numFmtId="0" fontId="2" fillId="0" borderId="1" pivotButton="0" quotePrefix="0" xfId="0"/>
    <xf numFmtId="165" fontId="2" fillId="0" borderId="1" applyAlignment="1" pivotButton="0" quotePrefix="0" xfId="0">
      <alignment horizontal="right"/>
    </xf>
    <xf numFmtId="0" fontId="9" fillId="0" borderId="1" pivotButton="0" quotePrefix="0" xfId="0"/>
    <xf numFmtId="0" fontId="4" fillId="0" borderId="1" pivotButton="0" quotePrefix="0" xfId="0"/>
    <xf numFmtId="0" fontId="8" fillId="0" borderId="1" pivotButton="0" quotePrefix="0" xfId="0"/>
    <xf numFmtId="2" fontId="8" fillId="0" borderId="1" applyAlignment="1" pivotButton="0" quotePrefix="0" xfId="0">
      <alignment horizontal="right"/>
    </xf>
    <xf numFmtId="165" fontId="2" fillId="3" borderId="1" applyAlignment="1" pivotButton="0" quotePrefix="0" xfId="0">
      <alignment horizontal="right"/>
    </xf>
    <xf numFmtId="0" fontId="2" fillId="5" borderId="1" applyAlignment="1" pivotButton="0" quotePrefix="0" xfId="0">
      <alignment horizontal="left"/>
    </xf>
    <xf numFmtId="0" fontId="2" fillId="5" borderId="1" applyAlignment="1" pivotButton="0" quotePrefix="0" xfId="0">
      <alignment horizontal="right"/>
    </xf>
    <xf numFmtId="0" fontId="7" fillId="8" borderId="0" pivotButton="0" quotePrefix="0" xfId="0"/>
    <xf numFmtId="164" fontId="2" fillId="6" borderId="2" applyAlignment="1" pivotButton="0" quotePrefix="0" xfId="0">
      <alignment horizontal="right"/>
    </xf>
    <xf numFmtId="164" fontId="2" fillId="9" borderId="3" applyAlignment="1" pivotButton="0" quotePrefix="0" xfId="0">
      <alignment horizontal="right"/>
    </xf>
    <xf numFmtId="164" fontId="2" fillId="0" borderId="2" applyAlignment="1" pivotButton="0" quotePrefix="0" xfId="0">
      <alignment horizontal="right"/>
    </xf>
    <xf numFmtId="164" fontId="2" fillId="0" borderId="3" applyAlignment="1" pivotButton="0" quotePrefix="0" xfId="0">
      <alignment horizontal="right"/>
    </xf>
    <xf numFmtId="166" fontId="10" fillId="0" borderId="2" applyAlignment="1" pivotButton="0" quotePrefix="0" xfId="0">
      <alignment horizontal="right"/>
    </xf>
    <xf numFmtId="164" fontId="2" fillId="3" borderId="3" applyAlignment="1" pivotButton="0" quotePrefix="0" xfId="0">
      <alignment horizontal="right"/>
    </xf>
    <xf numFmtId="164" fontId="2" fillId="6" borderId="3" applyAlignment="1" pivotButton="0" quotePrefix="0" xfId="0">
      <alignment horizontal="right"/>
    </xf>
    <xf numFmtId="167" fontId="8" fillId="0" borderId="1" applyAlignment="1" pivotButton="0" quotePrefix="0" xfId="0">
      <alignment horizontal="right"/>
    </xf>
    <xf numFmtId="49" fontId="8" fillId="0" borderId="1" applyAlignment="1" pivotButton="0" quotePrefix="0" xfId="0">
      <alignment horizontal="right"/>
    </xf>
    <xf numFmtId="168" fontId="8" fillId="0" borderId="1" applyAlignment="1" pivotButton="0" quotePrefix="0" xfId="0">
      <alignment horizontal="right"/>
    </xf>
    <xf numFmtId="49" fontId="2" fillId="6" borderId="2" applyAlignment="1" pivotButton="0" quotePrefix="0" xfId="0">
      <alignment horizontal="right"/>
    </xf>
    <xf numFmtId="0" fontId="2" fillId="6" borderId="0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165" fontId="2" fillId="0" borderId="1" applyAlignment="1" pivotButton="0" quotePrefix="0" xfId="0">
      <alignment horizontal="center"/>
    </xf>
    <xf numFmtId="169" fontId="8" fillId="0" borderId="1" applyAlignment="1" pivotButton="0" quotePrefix="0" xfId="0">
      <alignment horizontal="right"/>
    </xf>
    <xf numFmtId="0" fontId="2" fillId="3" borderId="1" pivotButton="0" quotePrefix="0" xfId="0"/>
    <xf numFmtId="164" fontId="2" fillId="3" borderId="1" applyAlignment="1" pivotButton="0" quotePrefix="0" xfId="0">
      <alignment horizontal="right"/>
    </xf>
    <xf numFmtId="169" fontId="2" fillId="3" borderId="1" applyAlignment="1" pivotButton="0" quotePrefix="0" xfId="0">
      <alignment horizontal="right"/>
    </xf>
    <xf numFmtId="1" fontId="8" fillId="0" borderId="1" applyAlignment="1" pivotButton="0" quotePrefix="0" xfId="0">
      <alignment horizontal="right"/>
    </xf>
    <xf numFmtId="170" fontId="2" fillId="3" borderId="1" applyAlignment="1" pivotButton="0" quotePrefix="0" xfId="0">
      <alignment horizontal="right"/>
    </xf>
    <xf numFmtId="170" fontId="8" fillId="0" borderId="1" pivotButton="0" quotePrefix="0" xfId="0"/>
    <xf numFmtId="2" fontId="8" fillId="0" borderId="1" applyAlignment="1" pivotButton="0" quotePrefix="0" xfId="0">
      <alignment horizontal="center"/>
    </xf>
    <xf numFmtId="0" fontId="8" fillId="7" borderId="1" applyAlignment="1" pivotButton="0" quotePrefix="0" xfId="0">
      <alignment horizontal="center"/>
    </xf>
    <xf numFmtId="170" fontId="8" fillId="7" borderId="1" pivotButton="0" quotePrefix="0" xfId="0"/>
    <xf numFmtId="2" fontId="8" fillId="7" borderId="1" applyAlignment="1" pivotButton="0" quotePrefix="0" xfId="0">
      <alignment horizontal="center"/>
    </xf>
    <xf numFmtId="164" fontId="2" fillId="0" borderId="1" pivotButton="0" quotePrefix="0" xfId="0"/>
    <xf numFmtId="164" fontId="8" fillId="0" borderId="1" pivotButton="0" quotePrefix="0" xfId="0"/>
    <xf numFmtId="164" fontId="8" fillId="7" borderId="1" pivotButton="0" quotePrefix="0" xfId="0"/>
    <xf numFmtId="0" fontId="2" fillId="5" borderId="1" applyAlignment="1" pivotButton="0" quotePrefix="0" xfId="0">
      <alignment horizontal="center"/>
    </xf>
    <xf numFmtId="0" fontId="8" fillId="7" borderId="1" pivotButton="0" quotePrefix="0" xfId="0"/>
    <xf numFmtId="171" fontId="2" fillId="7" borderId="1" pivotButton="0" quotePrefix="0" xfId="0"/>
    <xf numFmtId="172" fontId="8" fillId="7" borderId="1" pivotButton="0" quotePrefix="0" xfId="0"/>
    <xf numFmtId="0" fontId="2" fillId="7" borderId="1" applyAlignment="1" pivotButton="0" quotePrefix="0" xfId="0">
      <alignment horizontal="center"/>
    </xf>
    <xf numFmtId="0" fontId="4" fillId="7" borderId="1" applyAlignment="1" pivotButton="0" quotePrefix="0" xfId="0">
      <alignment horizontal="center"/>
    </xf>
    <xf numFmtId="171" fontId="2" fillId="0" borderId="1" pivotButton="0" quotePrefix="0" xfId="0"/>
    <xf numFmtId="172" fontId="8" fillId="0" borderId="1" pivotButton="0" quotePrefix="0" xfId="0"/>
    <xf numFmtId="0" fontId="4" fillId="0" borderId="1" applyAlignment="1" pivotButton="0" quotePrefix="0" xfId="0">
      <alignment horizontal="center"/>
    </xf>
    <xf numFmtId="0" fontId="2" fillId="9" borderId="3" pivotButton="0" quotePrefix="0" xfId="0"/>
    <xf numFmtId="164" fontId="2" fillId="9" borderId="3" pivotButton="0" quotePrefix="0" xfId="0"/>
    <xf numFmtId="171" fontId="2" fillId="9" borderId="3" pivotButton="0" quotePrefix="0" xfId="0"/>
    <xf numFmtId="172" fontId="2" fillId="9" borderId="3" pivotButton="0" quotePrefix="0" xfId="0"/>
    <xf numFmtId="0" fontId="2" fillId="9" borderId="3" applyAlignment="1" pivotButton="0" quotePrefix="0" xfId="0">
      <alignment horizontal="center"/>
    </xf>
    <xf numFmtId="0" fontId="0" fillId="0" borderId="1" applyAlignment="1" pivotButton="0" quotePrefix="0" xfId="0">
      <alignment horizontal="right"/>
    </xf>
    <xf numFmtId="164" fontId="0" fillId="0" borderId="1" pivotButton="0" quotePrefix="0" xfId="0"/>
    <xf numFmtId="171" fontId="0" fillId="0" borderId="1" pivotButton="0" quotePrefix="0" xfId="0"/>
    <xf numFmtId="0" fontId="2" fillId="5" borderId="1" pivotButton="0" quotePrefix="0" xfId="0"/>
    <xf numFmtId="0" fontId="2" fillId="7" borderId="1" pivotButton="0" quotePrefix="0" xfId="0"/>
    <xf numFmtId="0" fontId="9" fillId="7" borderId="1" pivotButton="0" quotePrefix="0" xfId="0"/>
    <xf numFmtId="165" fontId="2" fillId="7" borderId="1" applyAlignment="1" pivotButton="0" quotePrefix="0" xfId="0">
      <alignment horizontal="right"/>
    </xf>
    <xf numFmtId="0" fontId="4" fillId="7" borderId="1" pivotButton="0" quotePrefix="0" xfId="0"/>
    <xf numFmtId="164" fontId="2" fillId="0" borderId="1" applyAlignment="1" pivotButton="0" quotePrefix="0" xfId="0">
      <alignment horizontal="right"/>
    </xf>
    <xf numFmtId="164" fontId="2" fillId="7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Consolidated Revenue vs. EBITDA Projection (5-Year)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'01_Executive_Dashboard'!$B$14:$F$14</f>
            </numRef>
          </cat>
          <val>
            <numRef>
              <f>'01_Executive_Dashboard'!$B$15:$F$15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cat>
            <numRef>
              <f>'01_Executive_Dashboard'!$B$14:$F$14</f>
            </numRef>
          </cat>
          <val>
            <numRef>
              <f>'01_Executive_Dashboard'!$B$16:$F$16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cat>
            <numRef>
              <f>'01_Executive_Dashboard'!$B$14:$F$14</f>
            </numRef>
          </cat>
          <val>
            <numRef>
              <f>'01_Executive_Dashboard'!$B$17:$F$17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cat>
            <numRef>
              <f>'01_Executive_Dashboard'!$B$14:$F$14</f>
            </numRef>
          </cat>
          <val>
            <numRef>
              <f>'01_Executive_Dashboard'!$B$18:$F$18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Fiscal 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USD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22</row>
      <rowOff>0</rowOff>
    </from>
    <ext cx="576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showGridLines="1" workbookViewId="0">
      <selection activeCell="A1" sqref="A1"/>
    </sheetView>
  </sheetViews>
  <sheetFormatPr baseColWidth="8" defaultRowHeight="15"/>
  <cols>
    <col width="32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23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GLOBAL ENTERPRISE FINANCIAL MODEL &amp; EXECUTIVE DASHBOARD</t>
        </is>
      </c>
    </row>
    <row r="2"/>
    <row r="3">
      <c r="A3" s="2" t="inlineStr">
        <is>
          <t>ACTIVE SCENARIO SELECTOR:</t>
        </is>
      </c>
      <c r="C3" s="3" t="inlineStr">
        <is>
          <t>Base</t>
        </is>
      </c>
      <c r="D3" s="4" t="inlineStr">
        <is>
          <t>(Valid options: Base | Bull | Bear — dynamic model linkages drive all projections)</t>
        </is>
      </c>
    </row>
    <row r="4"/>
    <row r="5">
      <c r="A5" s="5" t="inlineStr">
        <is>
          <t>FY27 PROJ REVENUE</t>
        </is>
      </c>
      <c r="B5" s="6" t="n"/>
      <c r="C5" s="5" t="inlineStr">
        <is>
          <t>FY27 EBITDA</t>
        </is>
      </c>
      <c r="D5" s="6" t="n"/>
      <c r="E5" s="5" t="inlineStr">
        <is>
          <t>NET MARGIN (FY27)</t>
        </is>
      </c>
      <c r="F5" s="6" t="n"/>
      <c r="G5" s="5" t="inlineStr">
        <is>
          <t>ENTERPRISE VALUE (DCF)</t>
        </is>
      </c>
      <c r="H5" s="6" t="n"/>
      <c r="I5" s="5" t="inlineStr">
        <is>
          <t>PROJECT IRR</t>
        </is>
      </c>
      <c r="J5" s="5" t="inlineStr">
        <is>
          <t>ENDING CASH BALANCE</t>
        </is>
      </c>
      <c r="K5" s="6" t="n"/>
    </row>
    <row r="6">
      <c r="A6" s="7">
        <f>'03_3_Statement_Model'!F9</f>
        <v/>
      </c>
      <c r="B6" s="6" t="n"/>
      <c r="C6" s="7">
        <f>'03_3_Statement_Model'!F15</f>
        <v/>
      </c>
      <c r="D6" s="6" t="n"/>
      <c r="E6" s="8">
        <f>'03_3_Statement_Model'!F20/'03_3_Statement_Model'!F9</f>
        <v/>
      </c>
      <c r="F6" s="6" t="n"/>
      <c r="G6" s="7">
        <f>'04_Valuation_DCF'!C19</f>
        <v/>
      </c>
      <c r="H6" s="6" t="n"/>
      <c r="I6" s="8">
        <f>'04_Valuation_DCF'!C23</f>
        <v/>
      </c>
      <c r="J6" s="7">
        <f>'03_3_Statement_Model'!F38</f>
        <v/>
      </c>
      <c r="K6" s="6" t="n"/>
    </row>
    <row r="7">
      <c r="A7" s="6" t="n"/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</row>
    <row r="8"/>
    <row r="9">
      <c r="A9" s="9" t="inlineStr">
        <is>
          <t>WORKBOOK ARCHITECTURE &amp; SECTION QUICK JUMP</t>
        </is>
      </c>
    </row>
    <row r="10">
      <c r="A10" s="10" t="inlineStr">
        <is>
          <t>• 02_Assumptions_&amp;_Scenarios: Macro assumptions, pricing/volume drivers, and scenario matrices</t>
        </is>
      </c>
      <c r="E10" s="10" t="inlineStr">
        <is>
          <t>• 04_Valuation_DCF: Discounted Cash Flow, WACC build, Terminal Value, Sensitivity Tables</t>
        </is>
      </c>
      <c r="I10" s="10" t="inlineStr">
        <is>
          <t>• 06_Budget_vs_Actual_BvA: 12-month departmental variance analysis with SUMIFS and alert flags</t>
        </is>
      </c>
    </row>
    <row r="11">
      <c r="A11" s="10" t="inlineStr">
        <is>
          <t>• 03_3_Statement_Model: Integrated 5-Year Income Statement, Balance Sheet &amp; Cash Flow Statement</t>
        </is>
      </c>
      <c r="E11" s="10" t="inlineStr">
        <is>
          <t>• 05_Debt_&amp;_Depreciation: Term loan amortization schedule (PMT/IPMT/PPMT) &amp; asset depreciation</t>
        </is>
      </c>
      <c r="I11" s="10" t="inlineStr">
        <is>
          <t>• 07_Advanced_Formula_Lab: Modern dynamic arrays: LET, LAMBDA, FILTER, UNIQUE, SORT, XLOOKUP</t>
        </is>
      </c>
    </row>
    <row r="12"/>
    <row r="13">
      <c r="A13" s="11" t="inlineStr">
        <is>
          <t>5-YEAR HIGH-LEVEL CONSOLIDATED FINANCIAL SUMMARY ($)</t>
        </is>
      </c>
    </row>
    <row r="14">
      <c r="A14" s="12" t="inlineStr">
        <is>
          <t>Financial Metric ($)</t>
        </is>
      </c>
      <c r="B14" s="13" t="inlineStr">
        <is>
          <t>FY2023 (Act)</t>
        </is>
      </c>
      <c r="C14" s="13" t="inlineStr">
        <is>
          <t>FY2024 (Act)</t>
        </is>
      </c>
      <c r="D14" s="13" t="inlineStr">
        <is>
          <t>FY2025 (Proj)</t>
        </is>
      </c>
      <c r="E14" s="13" t="inlineStr">
        <is>
          <t>FY2026 (Proj)</t>
        </is>
      </c>
      <c r="F14" s="13" t="inlineStr">
        <is>
          <t>FY2027 (Proj)</t>
        </is>
      </c>
      <c r="G14" s="13" t="inlineStr">
        <is>
          <t>5-Yr CAGR</t>
        </is>
      </c>
    </row>
    <row r="15">
      <c r="A15" s="14" t="inlineStr">
        <is>
          <t>Gross Revenue</t>
        </is>
      </c>
      <c r="B15" s="15">
        <f>'03_3_Statement_Model'!B9</f>
        <v/>
      </c>
      <c r="C15" s="15">
        <f>'03_3_Statement_Model'!C9</f>
        <v/>
      </c>
      <c r="D15" s="15">
        <f>'03_3_Statement_Model'!D9</f>
        <v/>
      </c>
      <c r="E15" s="15">
        <f>'03_3_Statement_Model'!E9</f>
        <v/>
      </c>
      <c r="F15" s="15">
        <f>'03_3_Statement_Model'!F9</f>
        <v/>
      </c>
      <c r="G15" s="16">
        <f>((F15/B15)^(1/4))-1</f>
        <v/>
      </c>
    </row>
    <row r="16">
      <c r="A16" s="17" t="inlineStr">
        <is>
          <t>Cost of Goods Sold (COGS)</t>
        </is>
      </c>
      <c r="B16" s="18">
        <f>'03_3_Statement_Model'!B10</f>
        <v/>
      </c>
      <c r="C16" s="18">
        <f>'03_3_Statement_Model'!C10</f>
        <v/>
      </c>
      <c r="D16" s="18">
        <f>'03_3_Statement_Model'!D10</f>
        <v/>
      </c>
      <c r="E16" s="18">
        <f>'03_3_Statement_Model'!E10</f>
        <v/>
      </c>
      <c r="F16" s="18">
        <f>'03_3_Statement_Model'!F10</f>
        <v/>
      </c>
      <c r="G16" s="19">
        <f>((F16/B16)^(1/4))-1</f>
        <v/>
      </c>
    </row>
    <row r="17">
      <c r="A17" s="14" t="inlineStr">
        <is>
          <t>Gross Profit</t>
        </is>
      </c>
      <c r="B17" s="15">
        <f>'03_3_Statement_Model'!B11</f>
        <v/>
      </c>
      <c r="C17" s="15">
        <f>'03_3_Statement_Model'!C11</f>
        <v/>
      </c>
      <c r="D17" s="15">
        <f>'03_3_Statement_Model'!D11</f>
        <v/>
      </c>
      <c r="E17" s="15">
        <f>'03_3_Statement_Model'!E11</f>
        <v/>
      </c>
      <c r="F17" s="15">
        <f>'03_3_Statement_Model'!F11</f>
        <v/>
      </c>
      <c r="G17" s="16">
        <f>((F17/B17)^(1/4))-1</f>
        <v/>
      </c>
    </row>
    <row r="18">
      <c r="A18" s="17" t="inlineStr">
        <is>
          <t>EBITDA</t>
        </is>
      </c>
      <c r="B18" s="18">
        <f>'03_3_Statement_Model'!B15</f>
        <v/>
      </c>
      <c r="C18" s="18">
        <f>'03_3_Statement_Model'!C15</f>
        <v/>
      </c>
      <c r="D18" s="18">
        <f>'03_3_Statement_Model'!D15</f>
        <v/>
      </c>
      <c r="E18" s="18">
        <f>'03_3_Statement_Model'!E15</f>
        <v/>
      </c>
      <c r="F18" s="18">
        <f>'03_3_Statement_Model'!F15</f>
        <v/>
      </c>
      <c r="G18" s="19">
        <f>((F18/B18)^(1/4))-1</f>
        <v/>
      </c>
    </row>
    <row r="19">
      <c r="A19" s="14" t="inlineStr">
        <is>
          <t>Net Operating Profit After Tax (NOPAT)</t>
        </is>
      </c>
      <c r="B19" s="15">
        <f>'04_Valuation_DCF'!B9</f>
        <v/>
      </c>
      <c r="C19" s="15">
        <f>'04_Valuation_DCF'!C9</f>
        <v/>
      </c>
      <c r="D19" s="15">
        <f>'04_Valuation_DCF'!D9</f>
        <v/>
      </c>
      <c r="E19" s="15">
        <f>'04_Valuation_DCF'!E9</f>
        <v/>
      </c>
      <c r="F19" s="15">
        <f>'04_Valuation_DCF'!F9</f>
        <v/>
      </c>
      <c r="G19" s="16">
        <f>((F19/B19)^(1/4))-1</f>
        <v/>
      </c>
    </row>
    <row r="20">
      <c r="A20" s="17" t="inlineStr">
        <is>
          <t>Free Cash Flow (FCF)</t>
        </is>
      </c>
      <c r="B20" s="18">
        <f>'04_Valuation_DCF'!B14</f>
        <v/>
      </c>
      <c r="C20" s="18">
        <f>'04_Valuation_DCF'!C14</f>
        <v/>
      </c>
      <c r="D20" s="18">
        <f>'04_Valuation_DCF'!D14</f>
        <v/>
      </c>
      <c r="E20" s="18">
        <f>'04_Valuation_DCF'!E14</f>
        <v/>
      </c>
      <c r="F20" s="18">
        <f>'04_Valuation_DCF'!F14</f>
        <v/>
      </c>
      <c r="G20" s="19">
        <f>((F20/B20)^(1/4))-1</f>
        <v/>
      </c>
    </row>
    <row r="21">
      <c r="A21" s="14" t="inlineStr">
        <is>
          <t>Ending Cash Balance</t>
        </is>
      </c>
      <c r="B21" s="15">
        <f>'03_3_Statement_Model'!B38</f>
        <v/>
      </c>
      <c r="C21" s="15">
        <f>'03_3_Statement_Model'!C38</f>
        <v/>
      </c>
      <c r="D21" s="15">
        <f>'03_3_Statement_Model'!D38</f>
        <v/>
      </c>
      <c r="E21" s="15">
        <f>'03_3_Statement_Model'!E38</f>
        <v/>
      </c>
      <c r="F21" s="15">
        <f>'03_3_Statement_Model'!F38</f>
        <v/>
      </c>
      <c r="G21" s="16">
        <f>((F21/B21)^(1/4))-1</f>
        <v/>
      </c>
    </row>
  </sheetData>
  <mergeCells count="15">
    <mergeCell ref="I5"/>
    <mergeCell ref="A13:G13"/>
    <mergeCell ref="A9:K9"/>
    <mergeCell ref="E6:F7"/>
    <mergeCell ref="C6:D7"/>
    <mergeCell ref="J5:K5"/>
    <mergeCell ref="G6:H7"/>
    <mergeCell ref="J6:K7"/>
    <mergeCell ref="C5:D5"/>
    <mergeCell ref="A5:B5"/>
    <mergeCell ref="A6:B7"/>
    <mergeCell ref="E5:F5"/>
    <mergeCell ref="G5:H5"/>
    <mergeCell ref="I6:I7"/>
    <mergeCell ref="A1:K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2"/>
  <sheetViews>
    <sheetView showGridLines="1" workbookViewId="0">
      <selection activeCell="A1" sqref="A1"/>
    </sheetView>
  </sheetViews>
  <sheetFormatPr baseColWidth="8" defaultRowHeight="15"/>
  <cols>
    <col width="34" customWidth="1" min="1" max="1"/>
    <col width="23" customWidth="1" min="2" max="2"/>
    <col width="59" customWidth="1" min="3" max="3"/>
    <col width="55" customWidth="1" min="4" max="4"/>
    <col width="16" customWidth="1" min="5" max="5"/>
    <col width="17" customWidth="1" min="6" max="6"/>
    <col width="14" customWidth="1" min="7" max="7"/>
  </cols>
  <sheetData>
    <row r="1">
      <c r="A1" s="1" t="inlineStr">
        <is>
          <t>FINANCIAL MODEL ASSUMPTIONS &amp; SCENARIO ENGINE</t>
        </is>
      </c>
    </row>
    <row r="2"/>
    <row r="3"/>
    <row r="4">
      <c r="A4" s="2" t="inlineStr">
        <is>
          <t>Active Scenario Selected:</t>
        </is>
      </c>
      <c r="C4" s="3">
        <f>'01_Executive_Dashboard'!C3</f>
        <v/>
      </c>
    </row>
    <row r="5">
      <c r="A5" s="2" t="inlineStr">
        <is>
          <t>Active Scenario ID (Index):</t>
        </is>
      </c>
      <c r="C5" s="20">
        <f>IF(C4="Base", 1, IF(C4="Bull", 2, IF(C4="Bear", 3, 1)))</f>
        <v/>
      </c>
    </row>
    <row r="6"/>
    <row r="7">
      <c r="A7" s="11" t="inlineStr">
        <is>
          <t>1. SCENARIO MATRIX &amp; OPERATIONAL GROWTH DRIVERS</t>
        </is>
      </c>
    </row>
    <row r="8">
      <c r="A8" s="21" t="inlineStr">
        <is>
          <t>Scenario</t>
        </is>
      </c>
      <c r="B8" s="21" t="inlineStr">
        <is>
          <t>ID</t>
        </is>
      </c>
      <c r="C8" s="13" t="inlineStr">
        <is>
          <t>Annual Rev Growth %</t>
        </is>
      </c>
      <c r="D8" s="13" t="inlineStr">
        <is>
          <t>COGS % of Rev</t>
        </is>
      </c>
      <c r="E8" s="13" t="inlineStr">
        <is>
          <t>SG&amp;A % of Rev</t>
        </is>
      </c>
      <c r="F8" s="13" t="inlineStr">
        <is>
          <t>Capex % of Rev</t>
        </is>
      </c>
      <c r="G8" s="13" t="inlineStr">
        <is>
          <t>Tax Rate %</t>
        </is>
      </c>
    </row>
    <row r="9">
      <c r="A9" s="22" t="inlineStr">
        <is>
          <t>Base Case</t>
        </is>
      </c>
      <c r="B9" s="22" t="n">
        <v>1</v>
      </c>
      <c r="C9" s="19" t="n">
        <v>0.12</v>
      </c>
      <c r="D9" s="19" t="n">
        <v>0.42</v>
      </c>
      <c r="E9" s="19" t="n">
        <v>0.2</v>
      </c>
      <c r="F9" s="19" t="n">
        <v>0.05</v>
      </c>
      <c r="G9" s="19" t="n">
        <v>0.25</v>
      </c>
    </row>
    <row r="10">
      <c r="A10" s="22" t="inlineStr">
        <is>
          <t>Bull Case</t>
        </is>
      </c>
      <c r="B10" s="22" t="n">
        <v>2</v>
      </c>
      <c r="C10" s="19" t="n">
        <v>0.2</v>
      </c>
      <c r="D10" s="19" t="n">
        <v>0.38</v>
      </c>
      <c r="E10" s="19" t="n">
        <v>0.18</v>
      </c>
      <c r="F10" s="19" t="n">
        <v>0.06</v>
      </c>
      <c r="G10" s="19" t="n">
        <v>0.25</v>
      </c>
    </row>
    <row r="11">
      <c r="A11" s="22" t="inlineStr">
        <is>
          <t>Bear Case</t>
        </is>
      </c>
      <c r="B11" s="22" t="n">
        <v>3</v>
      </c>
      <c r="C11" s="19" t="n">
        <v>0.04</v>
      </c>
      <c r="D11" s="19" t="n">
        <v>0.48</v>
      </c>
      <c r="E11" s="19" t="n">
        <v>0.24</v>
      </c>
      <c r="F11" s="19" t="n">
        <v>0.04</v>
      </c>
      <c r="G11" s="19" t="n">
        <v>0.25</v>
      </c>
    </row>
    <row r="12"/>
    <row r="13">
      <c r="A13" s="11" t="inlineStr">
        <is>
          <t>ACTIVE DYNAMIC DRIVERS (Driven by Active Scenario Selector)</t>
        </is>
      </c>
    </row>
    <row r="14">
      <c r="A14" s="23" t="inlineStr">
        <is>
          <t>Driver Name</t>
        </is>
      </c>
      <c r="B14" s="23" t="inlineStr">
        <is>
          <t>Active Value</t>
        </is>
      </c>
      <c r="C14" s="23" t="inlineStr">
        <is>
          <t>Formula / Method</t>
        </is>
      </c>
      <c r="D14" s="23" t="inlineStr">
        <is>
          <t>Description</t>
        </is>
      </c>
    </row>
    <row r="15">
      <c r="A15" s="24" t="inlineStr">
        <is>
          <t>Revenue Growth Rate (YoY)</t>
        </is>
      </c>
      <c r="B15" s="25">
        <f>INDEX(C9:C11, $C$5)</f>
        <v/>
      </c>
      <c r="C15" s="26" t="inlineStr">
        <is>
          <t>INDEX(C9:C11, $C$5)</t>
        </is>
      </c>
      <c r="D15" s="27" t="inlineStr">
        <is>
          <t>Dynamically looks up growth rate for active scenario</t>
        </is>
      </c>
    </row>
    <row r="16">
      <c r="A16" s="24" t="inlineStr">
        <is>
          <t>COGS Ratio (% of Revenue)</t>
        </is>
      </c>
      <c r="B16" s="25">
        <f>INDEX(D9:D11, $C$5)</f>
        <v/>
      </c>
      <c r="C16" s="26" t="inlineStr">
        <is>
          <t>INDEX(D9:D11, $C$5)</t>
        </is>
      </c>
      <c r="D16" s="27" t="inlineStr">
        <is>
          <t>Direct cost of goods/services ratio</t>
        </is>
      </c>
    </row>
    <row r="17">
      <c r="A17" s="24" t="inlineStr">
        <is>
          <t>SG&amp;A Ratio (% of Revenue)</t>
        </is>
      </c>
      <c r="B17" s="25">
        <f>INDEX(E9:E11, $C$5)</f>
        <v/>
      </c>
      <c r="C17" s="26" t="inlineStr">
        <is>
          <t>INDEX(E9:E11, $C$5)</t>
        </is>
      </c>
      <c r="D17" s="27" t="inlineStr">
        <is>
          <t>Selling, General &amp; Administrative expense intensity</t>
        </is>
      </c>
    </row>
    <row r="18">
      <c r="A18" s="24" t="inlineStr">
        <is>
          <t>Capex Intensity (% of Revenue)</t>
        </is>
      </c>
      <c r="B18" s="25">
        <f>INDEX(F9:F11, $C$5)</f>
        <v/>
      </c>
      <c r="C18" s="26" t="inlineStr">
        <is>
          <t>INDEX(F9:F11, $C$5)</t>
        </is>
      </c>
      <c r="D18" s="27" t="inlineStr">
        <is>
          <t>Capital expenditures allocation as % of revenue</t>
        </is>
      </c>
    </row>
    <row r="19">
      <c r="A19" s="24" t="inlineStr">
        <is>
          <t>Corporate Tax Rate</t>
        </is>
      </c>
      <c r="B19" s="25">
        <f>INDEX(G9:G11, $C$5)</f>
        <v/>
      </c>
      <c r="C19" s="26" t="inlineStr">
        <is>
          <t>INDEX(G9:G11, $C$5)</t>
        </is>
      </c>
      <c r="D19" s="27" t="inlineStr">
        <is>
          <t>Statutory corporate income tax rate</t>
        </is>
      </c>
    </row>
    <row r="20"/>
    <row r="21"/>
    <row r="22">
      <c r="A22" s="11" t="inlineStr">
        <is>
          <t>2. CAPITAL STRUCTURE &amp; WACC VALUATION BENCHMARKS</t>
        </is>
      </c>
    </row>
    <row r="23">
      <c r="A23" s="28" t="inlineStr">
        <is>
          <t>Risk-Free Rate (Rf)</t>
        </is>
      </c>
      <c r="B23" s="19" t="n">
        <v>0.042</v>
      </c>
      <c r="C23" s="27" t="inlineStr">
        <is>
          <t>10-Year US Treasury Benchmark Yield</t>
        </is>
      </c>
    </row>
    <row r="24">
      <c r="A24" s="28" t="inlineStr">
        <is>
          <t>Equity Risk Premium (ERP)</t>
        </is>
      </c>
      <c r="B24" s="19" t="n">
        <v>0.055</v>
      </c>
      <c r="C24" s="27" t="inlineStr">
        <is>
          <t>Expected historical market excess return</t>
        </is>
      </c>
    </row>
    <row r="25">
      <c r="A25" s="28" t="inlineStr">
        <is>
          <t>Asset / Equity Beta (β)</t>
        </is>
      </c>
      <c r="B25" s="29" t="n">
        <v>1.15</v>
      </c>
      <c r="C25" s="27" t="inlineStr">
        <is>
          <t>Systematic equity risk / volatility factor</t>
        </is>
      </c>
    </row>
    <row r="26">
      <c r="A26" s="28" t="inlineStr">
        <is>
          <t>Cost of Equity (Ke = Rf + β * ERP)</t>
        </is>
      </c>
      <c r="B26" s="19">
        <f>B23+(B25*B24)</f>
        <v/>
      </c>
      <c r="C26" s="27" t="inlineStr">
        <is>
          <t>CAPM Capital Asset Pricing Model</t>
        </is>
      </c>
    </row>
    <row r="27">
      <c r="A27" s="28" t="inlineStr">
        <is>
          <t>Pre-Tax Cost of Debt (Kd)</t>
        </is>
      </c>
      <c r="B27" s="19" t="n">
        <v>0.065</v>
      </c>
      <c r="C27" s="27" t="inlineStr">
        <is>
          <t>Weighted borrowing rate on senior term debt</t>
        </is>
      </c>
    </row>
    <row r="28">
      <c r="A28" s="28" t="inlineStr">
        <is>
          <t>Effective Tax Rate (t)</t>
        </is>
      </c>
      <c r="B28" s="19">
        <f>B19</f>
        <v/>
      </c>
      <c r="C28" s="27" t="inlineStr">
        <is>
          <t>Corporate income tax shield</t>
        </is>
      </c>
    </row>
    <row r="29">
      <c r="A29" s="28" t="inlineStr">
        <is>
          <t>After-Tax Cost of Debt [Kd * (1 - t)]</t>
        </is>
      </c>
      <c r="B29" s="19">
        <f>B27*(1-B28)</f>
        <v/>
      </c>
      <c r="C29" s="27" t="inlineStr">
        <is>
          <t>Tax-shielded debt cost</t>
        </is>
      </c>
    </row>
    <row r="30">
      <c r="A30" s="28" t="inlineStr">
        <is>
          <t>Target Debt Weight (Wd)</t>
        </is>
      </c>
      <c r="B30" s="19" t="n">
        <v>0.3</v>
      </c>
      <c r="C30" s="27" t="inlineStr">
        <is>
          <t>Capital structure % financed by debt</t>
        </is>
      </c>
    </row>
    <row r="31">
      <c r="A31" s="28" t="inlineStr">
        <is>
          <t>Target Equity Weight (We)</t>
        </is>
      </c>
      <c r="B31" s="19">
        <f>1-B30</f>
        <v/>
      </c>
      <c r="C31" s="27" t="inlineStr">
        <is>
          <t>Capital structure % financed by equity</t>
        </is>
      </c>
    </row>
    <row r="32">
      <c r="A32" s="23" t="inlineStr">
        <is>
          <t>WEIGHTED AVERAGE COST OF CAPITAL (WACC)</t>
        </is>
      </c>
      <c r="B32" s="30">
        <f>(B31*B26)+(B30*B29)</f>
        <v/>
      </c>
      <c r="C32" s="27" t="inlineStr">
        <is>
          <t>Discount Rate: (We * Ke) + (Wd * Kd_after_tax)</t>
        </is>
      </c>
    </row>
  </sheetData>
  <mergeCells count="4">
    <mergeCell ref="A13:G13"/>
    <mergeCell ref="A22:E22"/>
    <mergeCell ref="A7:G7"/>
    <mergeCell ref="A1:G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6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42" customWidth="1" min="2" max="2"/>
    <col width="42" customWidth="1" min="3" max="3"/>
    <col width="45" customWidth="1" min="4" max="4"/>
    <col width="45" customWidth="1" min="5" max="5"/>
    <col width="45" customWidth="1" min="6" max="6"/>
  </cols>
  <sheetData>
    <row r="1">
      <c r="A1" s="1" t="inlineStr">
        <is>
          <t>5-YEAR INTEGRATED 3-STATEMENT FINANCIAL MODEL</t>
        </is>
      </c>
    </row>
    <row r="2"/>
    <row r="3"/>
    <row r="4">
      <c r="A4" s="31" t="inlineStr">
        <is>
          <t>Line Item ($)</t>
        </is>
      </c>
      <c r="B4" s="32" t="inlineStr">
        <is>
          <t>FY2023 (Act)</t>
        </is>
      </c>
      <c r="C4" s="32" t="inlineStr">
        <is>
          <t>FY2024 (Act)</t>
        </is>
      </c>
      <c r="D4" s="32" t="inlineStr">
        <is>
          <t>FY2025 (Proj)</t>
        </is>
      </c>
      <c r="E4" s="32" t="inlineStr">
        <is>
          <t>FY2026 (Proj)</t>
        </is>
      </c>
      <c r="F4" s="32" t="inlineStr">
        <is>
          <t>FY2027 (Proj)</t>
        </is>
      </c>
    </row>
    <row r="5">
      <c r="A5" s="33" t="inlineStr">
        <is>
          <t>A. CONSOLIDATED INCOME STATEMENT (P&amp;L)</t>
        </is>
      </c>
    </row>
    <row r="6"/>
    <row r="7"/>
    <row r="8"/>
    <row r="9">
      <c r="A9" s="10" t="inlineStr">
        <is>
          <t>Gross Revenue</t>
        </is>
      </c>
      <c r="B9" s="18" t="n">
        <v>10000000</v>
      </c>
      <c r="C9" s="18" t="n">
        <v>11500000</v>
      </c>
      <c r="D9" s="18">
        <f>B9*(1+'02_Assumptions_&amp;_Scenarios'!$B$15)</f>
        <v/>
      </c>
      <c r="E9" s="18">
        <f>C9*(1+'02_Assumptions_&amp;_Scenarios'!$B$15)</f>
        <v/>
      </c>
      <c r="F9" s="18">
        <f>D9*(1+'02_Assumptions_&amp;_Scenarios'!$B$15)</f>
        <v/>
      </c>
    </row>
    <row r="10">
      <c r="A10" s="10" t="inlineStr">
        <is>
          <t>Cost of Goods Sold (COGS)</t>
        </is>
      </c>
      <c r="B10" s="18" t="n">
        <v>4300000</v>
      </c>
      <c r="C10" s="18" t="n">
        <v>4830000</v>
      </c>
      <c r="D10" s="18">
        <f>D9*'02_Assumptions_&amp;_Scenarios'!$B$16</f>
        <v/>
      </c>
      <c r="E10" s="18">
        <f>E9*'02_Assumptions_&amp;_Scenarios'!$B$16</f>
        <v/>
      </c>
      <c r="F10" s="18">
        <f>F9*'02_Assumptions_&amp;_Scenarios'!$B$16</f>
        <v/>
      </c>
    </row>
    <row r="11">
      <c r="A11" s="2" t="inlineStr">
        <is>
          <t>Gross Profit</t>
        </is>
      </c>
      <c r="B11" s="34">
        <f>B9-B10</f>
        <v/>
      </c>
      <c r="C11" s="34">
        <f>C9-C10</f>
        <v/>
      </c>
      <c r="D11" s="34">
        <f>D9-D10</f>
        <v/>
      </c>
      <c r="E11" s="34">
        <f>E9-E10</f>
        <v/>
      </c>
      <c r="F11" s="34">
        <f>F9-F10</f>
        <v/>
      </c>
    </row>
    <row r="12">
      <c r="A12" s="10" t="inlineStr">
        <is>
          <t>Selling, General &amp; Admin (SG&amp;A)</t>
        </is>
      </c>
      <c r="B12" s="18" t="n">
        <v>2100000</v>
      </c>
      <c r="C12" s="18" t="n">
        <v>2350000</v>
      </c>
      <c r="D12" s="18">
        <f>D9*'02_Assumptions_&amp;_Scenarios'!$B$17</f>
        <v/>
      </c>
      <c r="E12" s="18">
        <f>E9*'02_Assumptions_&amp;_Scenarios'!$B$17</f>
        <v/>
      </c>
      <c r="F12" s="18">
        <f>F9*'02_Assumptions_&amp;_Scenarios'!$B$17</f>
        <v/>
      </c>
    </row>
    <row r="13">
      <c r="A13" s="10" t="inlineStr">
        <is>
          <t>Research &amp; Development (R&amp;D)</t>
        </is>
      </c>
      <c r="B13" s="18" t="n">
        <v>800000</v>
      </c>
      <c r="C13" s="18" t="n">
        <v>920000</v>
      </c>
      <c r="D13" s="18">
        <f>D9*0.075</f>
        <v/>
      </c>
      <c r="E13" s="18">
        <f>E9*0.075</f>
        <v/>
      </c>
      <c r="F13" s="18">
        <f>F9*0.075</f>
        <v/>
      </c>
    </row>
    <row r="14">
      <c r="A14" s="10" t="inlineStr">
        <is>
          <t>Other Operating Expenses</t>
        </is>
      </c>
      <c r="B14" s="18" t="n">
        <v>300000</v>
      </c>
      <c r="C14" s="18" t="n">
        <v>350000</v>
      </c>
      <c r="D14" s="18">
        <f>D9*0.025</f>
        <v/>
      </c>
      <c r="E14" s="18">
        <f>E9*0.025</f>
        <v/>
      </c>
      <c r="F14" s="18">
        <f>F9*0.025</f>
        <v/>
      </c>
    </row>
    <row r="15">
      <c r="A15" s="2" t="inlineStr">
        <is>
          <t>EBITDA</t>
        </is>
      </c>
      <c r="B15" s="34">
        <f>B11-(B12+B13+B14)</f>
        <v/>
      </c>
      <c r="C15" s="34">
        <f>C11-(C12+C13+C14)</f>
        <v/>
      </c>
      <c r="D15" s="34">
        <f>D11-(D12+D13+D14)</f>
        <v/>
      </c>
      <c r="E15" s="34">
        <f>E11-(E12+E13+E14)</f>
        <v/>
      </c>
      <c r="F15" s="34">
        <f>F11-(F12+F13+F14)</f>
        <v/>
      </c>
    </row>
    <row r="16">
      <c r="A16" s="10" t="inlineStr">
        <is>
          <t>Depreciation &amp; Amortization (D&amp;A)</t>
        </is>
      </c>
      <c r="B16" s="18" t="n">
        <v>600000</v>
      </c>
      <c r="C16" s="18" t="n">
        <v>680000</v>
      </c>
      <c r="D16" s="18">
        <f>'05_Debt_&amp;_Depreciation'!B35</f>
        <v/>
      </c>
      <c r="E16" s="18">
        <f>'05_Debt_&amp;_Depreciation'!C35</f>
        <v/>
      </c>
      <c r="F16" s="18">
        <f>'05_Debt_&amp;_Depreciation'!D35</f>
        <v/>
      </c>
    </row>
    <row r="17">
      <c r="A17" s="2" t="inlineStr">
        <is>
          <t>Operating Income (EBIT)</t>
        </is>
      </c>
      <c r="B17" s="34">
        <f>B15-B16</f>
        <v/>
      </c>
      <c r="C17" s="34">
        <f>C15-C16</f>
        <v/>
      </c>
      <c r="D17" s="34">
        <f>D15-D16</f>
        <v/>
      </c>
      <c r="E17" s="34">
        <f>E15-E16</f>
        <v/>
      </c>
      <c r="F17" s="34">
        <f>F15-F16</f>
        <v/>
      </c>
    </row>
    <row r="18">
      <c r="A18" s="10" t="inlineStr">
        <is>
          <t>Interest Expense</t>
        </is>
      </c>
      <c r="B18" s="18" t="n">
        <v>180000</v>
      </c>
      <c r="C18" s="18" t="n">
        <v>165000</v>
      </c>
      <c r="D18" s="18">
        <f>'05_Debt_&amp;_Depreciation'!B20</f>
        <v/>
      </c>
      <c r="E18" s="18">
        <f>'05_Debt_&amp;_Depreciation'!C20</f>
        <v/>
      </c>
      <c r="F18" s="18">
        <f>'05_Debt_&amp;_Depreciation'!D20</f>
        <v/>
      </c>
    </row>
    <row r="19">
      <c r="A19" s="2" t="inlineStr">
        <is>
          <t>Earnings Before Taxes (EBT)</t>
        </is>
      </c>
      <c r="B19" s="34">
        <f>B17-B18</f>
        <v/>
      </c>
      <c r="C19" s="34">
        <f>C17-C18</f>
        <v/>
      </c>
      <c r="D19" s="34">
        <f>D17-D18</f>
        <v/>
      </c>
      <c r="E19" s="34">
        <f>E17-E18</f>
        <v/>
      </c>
      <c r="F19" s="34">
        <f>F17-F18</f>
        <v/>
      </c>
    </row>
    <row r="20">
      <c r="A20" s="10" t="inlineStr">
        <is>
          <t>Income Tax Expense</t>
        </is>
      </c>
      <c r="B20" s="18">
        <f>B19*'02_Assumptions_&amp;_Scenarios'!$B$19</f>
        <v/>
      </c>
      <c r="C20" s="18">
        <f>C19*'02_Assumptions_&amp;_Scenarios'!$B$19</f>
        <v/>
      </c>
      <c r="D20" s="18">
        <f>D19*'02_Assumptions_&amp;_Scenarios'!$B$19</f>
        <v/>
      </c>
      <c r="E20" s="18">
        <f>E19*'02_Assumptions_&amp;_Scenarios'!$B$19</f>
        <v/>
      </c>
      <c r="F20" s="18">
        <f>F19*'02_Assumptions_&amp;_Scenarios'!$B$19</f>
        <v/>
      </c>
    </row>
    <row r="21">
      <c r="A21" s="2" t="inlineStr">
        <is>
          <t>NET INCOME</t>
        </is>
      </c>
      <c r="B21" s="35">
        <f>B19-B20</f>
        <v/>
      </c>
      <c r="C21" s="35">
        <f>C19-C20</f>
        <v/>
      </c>
      <c r="D21" s="35">
        <f>D19-D20</f>
        <v/>
      </c>
      <c r="E21" s="35">
        <f>E19-E20</f>
        <v/>
      </c>
      <c r="F21" s="35">
        <f>F19-F20</f>
        <v/>
      </c>
    </row>
    <row r="22"/>
    <row r="23">
      <c r="A23" s="33" t="inlineStr">
        <is>
          <t>B. CONSOLIDATED BALANCE SHEET</t>
        </is>
      </c>
    </row>
    <row r="24"/>
    <row r="25">
      <c r="A25" s="10" t="inlineStr">
        <is>
          <t>Cash &amp; Cash Equivalents</t>
        </is>
      </c>
      <c r="B25" s="18" t="n">
        <v>2500000</v>
      </c>
      <c r="C25" s="18" t="n">
        <v>3100000</v>
      </c>
      <c r="D25" s="18">
        <f>B38</f>
        <v/>
      </c>
      <c r="E25" s="18">
        <f>C38</f>
        <v/>
      </c>
      <c r="F25" s="18">
        <f>D38</f>
        <v/>
      </c>
    </row>
    <row r="26">
      <c r="A26" s="10" t="inlineStr">
        <is>
          <t>Accounts Receivable (45 days DSO)</t>
        </is>
      </c>
      <c r="B26" s="18">
        <f>B9*(45/365)</f>
        <v/>
      </c>
      <c r="C26" s="18">
        <f>C9*(45/365)</f>
        <v/>
      </c>
      <c r="D26" s="18">
        <f>D9*(45/365)</f>
        <v/>
      </c>
      <c r="E26" s="18">
        <f>E9*(45/365)</f>
        <v/>
      </c>
      <c r="F26" s="18">
        <f>F9*(45/365)</f>
        <v/>
      </c>
    </row>
    <row r="27">
      <c r="A27" s="10" t="inlineStr">
        <is>
          <t>Inventories (35 days DIO)</t>
        </is>
      </c>
      <c r="B27" s="18">
        <f>B10*(35/365)</f>
        <v/>
      </c>
      <c r="C27" s="18">
        <f>C10*(35/365)</f>
        <v/>
      </c>
      <c r="D27" s="18">
        <f>D10*(35/365)</f>
        <v/>
      </c>
      <c r="E27" s="18">
        <f>E10*(35/365)</f>
        <v/>
      </c>
      <c r="F27" s="18">
        <f>F10*(35/365)</f>
        <v/>
      </c>
    </row>
    <row r="28">
      <c r="A28" s="2" t="inlineStr">
        <is>
          <t>Total Current Assets</t>
        </is>
      </c>
      <c r="B28" s="36">
        <f>SUM(B25:B27)</f>
        <v/>
      </c>
      <c r="C28" s="36">
        <f>SUM(C25:C27)</f>
        <v/>
      </c>
      <c r="D28" s="36">
        <f>SUM(D25:D27)</f>
        <v/>
      </c>
      <c r="E28" s="36">
        <f>SUM(E25:E27)</f>
        <v/>
      </c>
      <c r="F28" s="36">
        <f>SUM(F25:F27)</f>
        <v/>
      </c>
    </row>
    <row r="29">
      <c r="A29" s="10" t="inlineStr">
        <is>
          <t>Property, Plant &amp; Equipment (Net PP&amp;E)</t>
        </is>
      </c>
      <c r="B29" s="18" t="n">
        <v>4200000</v>
      </c>
      <c r="C29" s="18" t="n">
        <v>4600000</v>
      </c>
      <c r="D29" s="18">
        <f>'05_Debt_&amp;_Depreciation'!B36</f>
        <v/>
      </c>
      <c r="E29" s="18">
        <f>'05_Debt_&amp;_Depreciation'!C36</f>
        <v/>
      </c>
      <c r="F29" s="18">
        <f>'05_Debt_&amp;_Depreciation'!D36</f>
        <v/>
      </c>
    </row>
    <row r="30">
      <c r="A30" s="2" t="inlineStr">
        <is>
          <t>TOTAL ASSETS</t>
        </is>
      </c>
      <c r="B30" s="37">
        <f>B28+B29</f>
        <v/>
      </c>
      <c r="C30" s="37">
        <f>C28+C29</f>
        <v/>
      </c>
      <c r="D30" s="37">
        <f>D28+D29</f>
        <v/>
      </c>
      <c r="E30" s="37">
        <f>E28+E29</f>
        <v/>
      </c>
      <c r="F30" s="37">
        <f>F28+F29</f>
        <v/>
      </c>
    </row>
    <row r="31">
      <c r="A31" s="10" t="inlineStr">
        <is>
          <t>Accounts Payable (40 days DPO)</t>
        </is>
      </c>
      <c r="B31" s="18">
        <f>B10*(40/365)</f>
        <v/>
      </c>
      <c r="C31" s="18">
        <f>C10*(40/365)</f>
        <v/>
      </c>
      <c r="D31" s="18">
        <f>D10*(40/365)</f>
        <v/>
      </c>
      <c r="E31" s="18">
        <f>E10*(40/365)</f>
        <v/>
      </c>
      <c r="F31" s="18">
        <f>F10*(40/365)</f>
        <v/>
      </c>
    </row>
    <row r="32">
      <c r="A32" s="10" t="inlineStr">
        <is>
          <t>Current Senior Debt</t>
        </is>
      </c>
      <c r="B32" s="18" t="n">
        <v>400000</v>
      </c>
      <c r="C32" s="18" t="n">
        <v>450000</v>
      </c>
      <c r="D32" s="18">
        <f>'05_Debt_&amp;_Depreciation'!B21</f>
        <v/>
      </c>
      <c r="E32" s="18">
        <f>'05_Debt_&amp;_Depreciation'!C21</f>
        <v/>
      </c>
      <c r="F32" s="18">
        <f>'05_Debt_&amp;_Depreciation'!D21</f>
        <v/>
      </c>
    </row>
    <row r="33">
      <c r="A33" s="2" t="inlineStr">
        <is>
          <t>Total Current Liabilities</t>
        </is>
      </c>
      <c r="B33" s="36">
        <f>B31+B32</f>
        <v/>
      </c>
      <c r="C33" s="36">
        <f>C31+C32</f>
        <v/>
      </c>
      <c r="D33" s="36">
        <f>D31+D32</f>
        <v/>
      </c>
      <c r="E33" s="36">
        <f>E31+E32</f>
        <v/>
      </c>
      <c r="F33" s="36">
        <f>F31+F32</f>
        <v/>
      </c>
    </row>
    <row r="34">
      <c r="A34" s="10" t="inlineStr">
        <is>
          <t>Long-Term Debt</t>
        </is>
      </c>
      <c r="B34" s="18" t="n">
        <v>2600000</v>
      </c>
      <c r="C34" s="18" t="n">
        <v>2150000</v>
      </c>
      <c r="D34" s="18">
        <f>'05_Debt_&amp;_Depreciation'!B22</f>
        <v/>
      </c>
      <c r="E34" s="18">
        <f>'05_Debt_&amp;_Depreciation'!C22</f>
        <v/>
      </c>
      <c r="F34" s="18">
        <f>'05_Debt_&amp;_Depreciation'!D22</f>
        <v/>
      </c>
    </row>
    <row r="35">
      <c r="A35" s="2" t="inlineStr">
        <is>
          <t>TOTAL LIABILITIES</t>
        </is>
      </c>
      <c r="B35" s="36">
        <f>B33+B34</f>
        <v/>
      </c>
      <c r="C35" s="36">
        <f>C33+C34</f>
        <v/>
      </c>
      <c r="D35" s="36">
        <f>D33+D34</f>
        <v/>
      </c>
      <c r="E35" s="36">
        <f>E33+E34</f>
        <v/>
      </c>
      <c r="F35" s="36">
        <f>F33+F34</f>
        <v/>
      </c>
    </row>
    <row r="36">
      <c r="A36" s="10" t="inlineStr">
        <is>
          <t>Common Equity &amp; Paid-in Capital</t>
        </is>
      </c>
      <c r="B36" s="18" t="n">
        <v>2000000</v>
      </c>
      <c r="C36" s="18" t="n">
        <v>2000000</v>
      </c>
      <c r="D36" s="18">
        <f>B36</f>
        <v/>
      </c>
      <c r="E36" s="18">
        <f>C36</f>
        <v/>
      </c>
      <c r="F36" s="18">
        <f>D36</f>
        <v/>
      </c>
    </row>
    <row r="37">
      <c r="A37" s="10" t="inlineStr">
        <is>
          <t>Retained Earnings</t>
        </is>
      </c>
      <c r="B37" s="18" t="n">
        <v>3000000</v>
      </c>
      <c r="C37" s="18" t="n">
        <v>4200000</v>
      </c>
      <c r="D37" s="18">
        <f>C37+D21</f>
        <v/>
      </c>
      <c r="E37" s="18">
        <f>D37+E21</f>
        <v/>
      </c>
      <c r="F37" s="18">
        <f>E37+F21</f>
        <v/>
      </c>
    </row>
    <row r="38">
      <c r="A38" s="2" t="inlineStr">
        <is>
          <t>TOTAL SHAREHOLDER EQUITY</t>
        </is>
      </c>
      <c r="B38" s="36">
        <f>B36+B37</f>
        <v/>
      </c>
      <c r="C38" s="36">
        <f>C36+C37</f>
        <v/>
      </c>
      <c r="D38" s="36">
        <f>D36+D37</f>
        <v/>
      </c>
      <c r="E38" s="36">
        <f>E36+E37</f>
        <v/>
      </c>
      <c r="F38" s="36">
        <f>F36+F37</f>
        <v/>
      </c>
    </row>
    <row r="39">
      <c r="A39" s="2" t="inlineStr">
        <is>
          <t>TOTAL LIABILITIES &amp; EQUITY</t>
        </is>
      </c>
      <c r="B39" s="37">
        <f>B35+B38</f>
        <v/>
      </c>
      <c r="C39" s="37">
        <f>C35+C38</f>
        <v/>
      </c>
      <c r="D39" s="37">
        <f>D35+D38</f>
        <v/>
      </c>
      <c r="E39" s="37">
        <f>E35+E38</f>
        <v/>
      </c>
      <c r="F39" s="37">
        <f>F35+F38</f>
        <v/>
      </c>
    </row>
    <row r="40">
      <c r="A40" s="2" t="inlineStr">
        <is>
          <t>BALANCE SHEET CHECK (Assets - Liab &amp; Eq)</t>
        </is>
      </c>
      <c r="B40" s="38">
        <f>B30-B39</f>
        <v/>
      </c>
      <c r="C40" s="38">
        <f>C30-C39</f>
        <v/>
      </c>
      <c r="D40" s="38">
        <f>D30-D39</f>
        <v/>
      </c>
      <c r="E40" s="38">
        <f>E30-E39</f>
        <v/>
      </c>
      <c r="F40" s="38">
        <f>F30-F39</f>
        <v/>
      </c>
    </row>
    <row r="41"/>
    <row r="42">
      <c r="A42" s="33" t="inlineStr">
        <is>
          <t>C. CONSOLIDATED STATEMENT OF CASH FLOWS</t>
        </is>
      </c>
    </row>
    <row r="43"/>
    <row r="44">
      <c r="A44" s="10" t="inlineStr">
        <is>
          <t>Net Income</t>
        </is>
      </c>
      <c r="B44" s="18">
        <f>B21</f>
        <v/>
      </c>
      <c r="C44" s="18">
        <f>C21</f>
        <v/>
      </c>
      <c r="D44" s="18">
        <f>D21</f>
        <v/>
      </c>
      <c r="E44" s="18">
        <f>E21</f>
        <v/>
      </c>
      <c r="F44" s="18">
        <f>F21</f>
        <v/>
      </c>
    </row>
    <row r="45">
      <c r="A45" s="10" t="inlineStr">
        <is>
          <t>(+) Depreciation &amp; Amortization</t>
        </is>
      </c>
      <c r="B45" s="18">
        <f>B16</f>
        <v/>
      </c>
      <c r="C45" s="18">
        <f>C16</f>
        <v/>
      </c>
      <c r="D45" s="18">
        <f>D16</f>
        <v/>
      </c>
      <c r="E45" s="18">
        <f>E16</f>
        <v/>
      </c>
      <c r="F45" s="18">
        <f>F16</f>
        <v/>
      </c>
    </row>
    <row r="46">
      <c r="A46" s="10" t="inlineStr">
        <is>
          <t>(-) Change in Accounts Receivable</t>
        </is>
      </c>
      <c r="B46" s="18" t="n">
        <v>0</v>
      </c>
      <c r="C46" s="18">
        <f>(B26-C26)</f>
        <v/>
      </c>
      <c r="D46" s="18">
        <f>(C26-D26)</f>
        <v/>
      </c>
      <c r="E46" s="18">
        <f>(D26-E26)</f>
        <v/>
      </c>
      <c r="F46" s="18">
        <f>(E26-F26)</f>
        <v/>
      </c>
    </row>
    <row r="47">
      <c r="A47" s="10" t="inlineStr">
        <is>
          <t>(-) Change in Inventory</t>
        </is>
      </c>
      <c r="B47" s="18" t="n">
        <v>0</v>
      </c>
      <c r="C47" s="18">
        <f>(B27-C27)</f>
        <v/>
      </c>
      <c r="D47" s="18">
        <f>(C27-D27)</f>
        <v/>
      </c>
      <c r="E47" s="18">
        <f>(D27-E27)</f>
        <v/>
      </c>
      <c r="F47" s="18">
        <f>(E27-F27)</f>
        <v/>
      </c>
    </row>
    <row r="48">
      <c r="A48" s="10" t="inlineStr">
        <is>
          <t>(+) Change in Accounts Payable</t>
        </is>
      </c>
      <c r="B48" s="18" t="n">
        <v>0</v>
      </c>
      <c r="C48" s="18">
        <f>(C31-B31)</f>
        <v/>
      </c>
      <c r="D48" s="18">
        <f>(D31-C31)</f>
        <v/>
      </c>
      <c r="E48" s="18">
        <f>(E31-D31)</f>
        <v/>
      </c>
      <c r="F48" s="18">
        <f>(F31-E31)</f>
        <v/>
      </c>
    </row>
    <row r="49">
      <c r="A49" s="2" t="inlineStr">
        <is>
          <t>CASH FLOW FROM OPERATIONS (CFO)</t>
        </is>
      </c>
      <c r="B49" s="34">
        <f>SUM(B44:B48)</f>
        <v/>
      </c>
      <c r="C49" s="34">
        <f>SUM(C44:C48)</f>
        <v/>
      </c>
      <c r="D49" s="34">
        <f>SUM(D44:D48)</f>
        <v/>
      </c>
      <c r="E49" s="34">
        <f>SUM(E44:E48)</f>
        <v/>
      </c>
      <c r="F49" s="34">
        <f>SUM(F44:F48)</f>
        <v/>
      </c>
    </row>
    <row r="50">
      <c r="A50" s="10" t="inlineStr">
        <is>
          <t>Capital Expenditures (Capex)</t>
        </is>
      </c>
      <c r="B50" s="18" t="n">
        <v>-500000</v>
      </c>
      <c r="C50" s="18" t="n">
        <v>-600000</v>
      </c>
      <c r="D50" s="18">
        <f>-D9*'02_Assumptions_&amp;_Scenarios'!$B$18</f>
        <v/>
      </c>
      <c r="E50" s="18">
        <f>-E9*'02_Assumptions_&amp;_Scenarios'!$B$18</f>
        <v/>
      </c>
      <c r="F50" s="18">
        <f>-F9*'02_Assumptions_&amp;_Scenarios'!$B$18</f>
        <v/>
      </c>
    </row>
    <row r="51">
      <c r="A51" s="2" t="inlineStr">
        <is>
          <t>CASH FLOW FROM INVESTING (CFI)</t>
        </is>
      </c>
      <c r="B51" s="34">
        <f>B50</f>
        <v/>
      </c>
      <c r="C51" s="34">
        <f>C50</f>
        <v/>
      </c>
      <c r="D51" s="34">
        <f>D50</f>
        <v/>
      </c>
      <c r="E51" s="34">
        <f>E50</f>
        <v/>
      </c>
      <c r="F51" s="34">
        <f>F50</f>
        <v/>
      </c>
    </row>
    <row r="52">
      <c r="A52" s="10" t="inlineStr">
        <is>
          <t>Senior Debt Principal Repayment</t>
        </is>
      </c>
      <c r="B52" s="18" t="n">
        <v>-350000</v>
      </c>
      <c r="C52" s="18" t="n">
        <v>-450000</v>
      </c>
      <c r="D52" s="18">
        <f>-'05_Debt_&amp;_Depreciation'!B21</f>
        <v/>
      </c>
      <c r="E52" s="18">
        <f>-'05_Debt_&amp;_Depreciation'!C21</f>
        <v/>
      </c>
      <c r="F52" s="18">
        <f>-'05_Debt_&amp;_Depreciation'!D21</f>
        <v/>
      </c>
    </row>
    <row r="53">
      <c r="A53" s="2" t="inlineStr">
        <is>
          <t>CASH FLOW FROM FINANCING (CFF)</t>
        </is>
      </c>
      <c r="B53" s="34">
        <f>B52</f>
        <v/>
      </c>
      <c r="C53" s="34">
        <f>C52</f>
        <v/>
      </c>
      <c r="D53" s="34">
        <f>D52</f>
        <v/>
      </c>
      <c r="E53" s="34">
        <f>E52</f>
        <v/>
      </c>
      <c r="F53" s="34">
        <f>F52</f>
        <v/>
      </c>
    </row>
    <row r="54">
      <c r="A54" s="2" t="inlineStr">
        <is>
          <t>NET CHANGE IN CASH</t>
        </is>
      </c>
      <c r="B54" s="34">
        <f>B49+B51+B53</f>
        <v/>
      </c>
      <c r="C54" s="34">
        <f>C49+C51+C53</f>
        <v/>
      </c>
      <c r="D54" s="34">
        <f>D49+D51+D53</f>
        <v/>
      </c>
      <c r="E54" s="34">
        <f>E49+E51+E53</f>
        <v/>
      </c>
      <c r="F54" s="34">
        <f>F49+F51+F53</f>
        <v/>
      </c>
    </row>
    <row r="55">
      <c r="A55" s="10" t="inlineStr">
        <is>
          <t>Beginning Cash Balance</t>
        </is>
      </c>
      <c r="B55" s="18" t="n">
        <v>2000000</v>
      </c>
      <c r="C55" s="18">
        <f>B25</f>
        <v/>
      </c>
      <c r="D55" s="18">
        <f>C25</f>
        <v/>
      </c>
      <c r="E55" s="18">
        <f>D25</f>
        <v/>
      </c>
      <c r="F55" s="18">
        <f>E25</f>
        <v/>
      </c>
    </row>
    <row r="56">
      <c r="A56" s="2" t="inlineStr">
        <is>
          <t>ENDING CASH BALANCE</t>
        </is>
      </c>
      <c r="B56" s="39">
        <f>B54+B55</f>
        <v/>
      </c>
      <c r="C56" s="39">
        <f>C54+C55</f>
        <v/>
      </c>
      <c r="D56" s="39">
        <f>D54+D55</f>
        <v/>
      </c>
      <c r="E56" s="39">
        <f>E54+E55</f>
        <v/>
      </c>
      <c r="F56" s="39">
        <f>F54+F55</f>
        <v/>
      </c>
    </row>
  </sheetData>
  <mergeCells count="4">
    <mergeCell ref="A5:F5"/>
    <mergeCell ref="A23:F23"/>
    <mergeCell ref="A1:F2"/>
    <mergeCell ref="A42:F4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5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57" customWidth="1" min="2" max="2"/>
    <col width="44" customWidth="1" min="3" max="3"/>
    <col width="48" customWidth="1" min="4" max="4"/>
    <col width="48" customWidth="1" min="5" max="5"/>
    <col width="48" customWidth="1" min="6" max="6"/>
    <col width="17" customWidth="1" min="7" max="7"/>
    <col width="14" customWidth="1" min="8" max="8"/>
    <col width="14" customWidth="1" min="9" max="9"/>
  </cols>
  <sheetData>
    <row r="1">
      <c r="A1" s="1" t="inlineStr">
        <is>
          <t>DISCOUNTED CASH FLOW (DCF) VALUATION &amp; RETURNS ENGINE</t>
        </is>
      </c>
    </row>
    <row r="2"/>
    <row r="3"/>
    <row r="4">
      <c r="A4" s="31" t="inlineStr">
        <is>
          <t>Valuation Element ($)</t>
        </is>
      </c>
      <c r="B4" s="32" t="inlineStr">
        <is>
          <t>FY2023 (Act)</t>
        </is>
      </c>
      <c r="C4" s="32" t="inlineStr">
        <is>
          <t>FY2024 (Act)</t>
        </is>
      </c>
      <c r="D4" s="32" t="inlineStr">
        <is>
          <t>FY2025 (Proj)</t>
        </is>
      </c>
      <c r="E4" s="32" t="inlineStr">
        <is>
          <t>FY2026 (Proj)</t>
        </is>
      </c>
      <c r="F4" s="32" t="inlineStr">
        <is>
          <t>FY2027 (Proj)</t>
        </is>
      </c>
      <c r="G4" s="32" t="inlineStr">
        <is>
          <t>Terminal Year</t>
        </is>
      </c>
    </row>
    <row r="5">
      <c r="A5" s="10" t="inlineStr">
        <is>
          <t>Operating Income (EBIT)</t>
        </is>
      </c>
      <c r="B5" s="18">
        <f>'03_3_Statement_Model'!B17</f>
        <v/>
      </c>
      <c r="C5" s="18">
        <f>'03_3_Statement_Model'!C17</f>
        <v/>
      </c>
      <c r="D5" s="18">
        <f>'03_3_Statement_Model'!D17</f>
        <v/>
      </c>
      <c r="E5" s="18">
        <f>'03_3_Statement_Model'!E17</f>
        <v/>
      </c>
      <c r="F5" s="18">
        <f>'03_3_Statement_Model'!F17</f>
        <v/>
      </c>
      <c r="G5" s="18">
        <f>F5*(1+0.025)</f>
        <v/>
      </c>
    </row>
    <row r="6">
      <c r="A6" s="10" t="inlineStr">
        <is>
          <t>Effective Tax Rate</t>
        </is>
      </c>
      <c r="B6" s="19">
        <f>'02_Assumptions_&amp;_Scenarios'!$B$19</f>
        <v/>
      </c>
      <c r="C6" s="19">
        <f>'02_Assumptions_&amp;_Scenarios'!$B$19</f>
        <v/>
      </c>
      <c r="D6" s="19">
        <f>'02_Assumptions_&amp;_Scenarios'!$B$19</f>
        <v/>
      </c>
      <c r="E6" s="19">
        <f>'02_Assumptions_&amp;_Scenarios'!$B$19</f>
        <v/>
      </c>
      <c r="F6" s="19">
        <f>'02_Assumptions_&amp;_Scenarios'!$B$19</f>
        <v/>
      </c>
      <c r="G6" s="19">
        <f>F6</f>
        <v/>
      </c>
    </row>
    <row r="7">
      <c r="A7" s="10" t="inlineStr">
        <is>
          <t>(-) Taxes on EBIT</t>
        </is>
      </c>
      <c r="B7" s="18">
        <f>B5*B6</f>
        <v/>
      </c>
      <c r="C7" s="18">
        <f>C5*C6</f>
        <v/>
      </c>
      <c r="D7" s="18">
        <f>D5*D6</f>
        <v/>
      </c>
      <c r="E7" s="18">
        <f>E5*E6</f>
        <v/>
      </c>
      <c r="F7" s="18">
        <f>F5*F6</f>
        <v/>
      </c>
      <c r="G7" s="18">
        <f>G5*G6</f>
        <v/>
      </c>
    </row>
    <row r="8">
      <c r="A8" s="2" t="inlineStr">
        <is>
          <t>NOPAT (Net Operating Profit After Tax)</t>
        </is>
      </c>
      <c r="B8" s="34">
        <f>B5-B7</f>
        <v/>
      </c>
      <c r="C8" s="34">
        <f>C5-C7</f>
        <v/>
      </c>
      <c r="D8" s="34">
        <f>D5-D7</f>
        <v/>
      </c>
      <c r="E8" s="34">
        <f>E5-E7</f>
        <v/>
      </c>
      <c r="F8" s="34">
        <f>F5-F7</f>
        <v/>
      </c>
      <c r="G8" s="34">
        <f>G5-G7</f>
        <v/>
      </c>
    </row>
    <row r="9">
      <c r="A9" s="10" t="inlineStr">
        <is>
          <t>(+) Depreciation &amp; Amortization</t>
        </is>
      </c>
      <c r="B9" s="18">
        <f>'03_3_Statement_Model'!B16</f>
        <v/>
      </c>
      <c r="C9" s="18">
        <f>'03_3_Statement_Model'!C16</f>
        <v/>
      </c>
      <c r="D9" s="18">
        <f>'03_3_Statement_Model'!D16</f>
        <v/>
      </c>
      <c r="E9" s="18">
        <f>'03_3_Statement_Model'!E16</f>
        <v/>
      </c>
      <c r="F9" s="18">
        <f>'03_3_Statement_Model'!F16</f>
        <v/>
      </c>
      <c r="G9" s="18">
        <f>F9*(1+0.025)</f>
        <v/>
      </c>
    </row>
    <row r="10">
      <c r="A10" s="10" t="inlineStr">
        <is>
          <t>(-) Capital Expenditures (Capex)</t>
        </is>
      </c>
      <c r="B10" s="18">
        <f>-'03_3_Statement_Model'!B50</f>
        <v/>
      </c>
      <c r="C10" s="18">
        <f>-'03_3_Statement_Model'!C50</f>
        <v/>
      </c>
      <c r="D10" s="18">
        <f>-'03_3_Statement_Model'!D50</f>
        <v/>
      </c>
      <c r="E10" s="18">
        <f>-'03_3_Statement_Model'!E50</f>
        <v/>
      </c>
      <c r="F10" s="18">
        <f>-'03_3_Statement_Model'!F50</f>
        <v/>
      </c>
      <c r="G10" s="18">
        <f>F10*(1+0.025)</f>
        <v/>
      </c>
    </row>
    <row r="11">
      <c r="A11" s="10" t="inlineStr">
        <is>
          <t>(-) Change in Net Working Capital (ΔNWC)</t>
        </is>
      </c>
      <c r="B11" s="18" t="n">
        <v>50000</v>
      </c>
      <c r="C11" s="18" t="n">
        <v>75000</v>
      </c>
      <c r="D11" s="18" t="n">
        <v>85000</v>
      </c>
      <c r="E11" s="18" t="n">
        <v>95000</v>
      </c>
      <c r="F11" s="18" t="n">
        <v>110000</v>
      </c>
      <c r="G11" s="18">
        <f>F11*(1+0.025)</f>
        <v/>
      </c>
    </row>
    <row r="12">
      <c r="A12" s="2" t="inlineStr">
        <is>
          <t>UNLEVERED FREE CASH FLOW (UFCF)</t>
        </is>
      </c>
      <c r="B12" s="40">
        <f>B8+B9-B10-B11</f>
        <v/>
      </c>
      <c r="C12" s="40">
        <f>C8+C9-C10-C11</f>
        <v/>
      </c>
      <c r="D12" s="40">
        <f>D8+D9-D10-D11</f>
        <v/>
      </c>
      <c r="E12" s="40">
        <f>E8+E9-E10-E11</f>
        <v/>
      </c>
      <c r="F12" s="40">
        <f>F8+F9-F10-F11</f>
        <v/>
      </c>
      <c r="G12" s="40">
        <f>G8+G9-G10-G11</f>
        <v/>
      </c>
    </row>
    <row r="13">
      <c r="A13" s="10" t="inlineStr">
        <is>
          <t>Discount Period (Years)</t>
        </is>
      </c>
      <c r="B13" s="41" t="n">
        <v>0</v>
      </c>
      <c r="C13" s="41" t="n">
        <v>0</v>
      </c>
      <c r="D13" s="41" t="n">
        <v>1</v>
      </c>
      <c r="E13" s="41" t="n">
        <v>2</v>
      </c>
      <c r="F13" s="41" t="n">
        <v>3</v>
      </c>
      <c r="G13" s="41" t="n">
        <v>4</v>
      </c>
    </row>
    <row r="14">
      <c r="A14" s="10" t="inlineStr">
        <is>
          <t>Discount Factor [1 / (1 + WACC)^t]</t>
        </is>
      </c>
      <c r="B14" s="42" t="n">
        <v>1</v>
      </c>
      <c r="C14" s="42" t="n">
        <v>1</v>
      </c>
      <c r="D14" s="43">
        <f>1/(1+'02_Assumptions_&amp;_Scenarios'!$B$32)^D13</f>
        <v/>
      </c>
      <c r="E14" s="43">
        <f>1/(1+'02_Assumptions_&amp;_Scenarios'!$B$32)^E13</f>
        <v/>
      </c>
      <c r="F14" s="43">
        <f>1/(1+'02_Assumptions_&amp;_Scenarios'!$B$32)^F13</f>
        <v/>
      </c>
      <c r="G14" s="42" t="inlineStr">
        <is>
          <t>-</t>
        </is>
      </c>
    </row>
    <row r="15">
      <c r="A15" s="2" t="inlineStr">
        <is>
          <t>PRESENT VALUE OF CASH FLOWS (PV)</t>
        </is>
      </c>
      <c r="B15" s="34" t="n">
        <v>0</v>
      </c>
      <c r="C15" s="34" t="n">
        <v>0</v>
      </c>
      <c r="D15" s="34">
        <f>D12*D14</f>
        <v/>
      </c>
      <c r="E15" s="34">
        <f>E12*E14</f>
        <v/>
      </c>
      <c r="F15" s="34">
        <f>F12*F14</f>
        <v/>
      </c>
      <c r="G15" s="44" t="inlineStr">
        <is>
          <t>-</t>
        </is>
      </c>
    </row>
    <row r="16"/>
    <row r="17">
      <c r="A17" s="11" t="inlineStr">
        <is>
          <t>VALUATION OUTPUT &amp; INSTITUTIONAL METRICS</t>
        </is>
      </c>
      <c r="E17" s="45" t="inlineStr">
        <is>
          <t>VALUATION SENSITIVITY: ENTERPRISE VALUE ($M) VS WACC &amp; GROWTH</t>
        </is>
      </c>
    </row>
    <row r="18">
      <c r="A18" s="28" t="inlineStr">
        <is>
          <t>Cumulative PV of Explicit Forecast (FY25-FY27)</t>
        </is>
      </c>
      <c r="B18" s="18">
        <f>SUM(D15:F15)</f>
        <v/>
      </c>
      <c r="C18" s="27" t="inlineStr">
        <is>
          <t>Sum of discounted 3-year UFCF</t>
        </is>
      </c>
      <c r="E18" s="46" t="inlineStr">
        <is>
          <t>WACC \ g</t>
        </is>
      </c>
      <c r="F18" s="46" t="inlineStr">
        <is>
          <t>1.5%</t>
        </is>
      </c>
      <c r="G18" s="46" t="inlineStr">
        <is>
          <t>2.0%</t>
        </is>
      </c>
      <c r="H18" s="46" t="inlineStr">
        <is>
          <t>2.5%</t>
        </is>
      </c>
      <c r="I18" s="46" t="inlineStr">
        <is>
          <t>3.0%</t>
        </is>
      </c>
    </row>
    <row r="19">
      <c r="A19" s="28" t="inlineStr">
        <is>
          <t>Terminal Value (Gordon Growth g=2.5%)</t>
        </is>
      </c>
      <c r="B19" s="18">
        <f>(G12*('02_Assumptions_&amp;_Scenarios'!$B$32-0.025))</f>
        <v/>
      </c>
      <c r="C19" s="27" t="inlineStr">
        <is>
          <t>TV = UFCF_t+1 / (WACC - g)</t>
        </is>
      </c>
      <c r="E19" s="47" t="n">
        <v>0.075</v>
      </c>
      <c r="F19" s="48">
        <f>($B$18 + ($G$12 / (0.075 - 0.015)) * (1 / (1 + 0.075)^3)) / 1000000</f>
        <v/>
      </c>
      <c r="G19" s="48">
        <f>($B$18 + ($G$12 / (0.075 - 0.02)) * (1 / (1 + 0.075)^3)) / 1000000</f>
        <v/>
      </c>
      <c r="H19" s="48">
        <f>($B$18 + ($G$12 / (0.075 - 0.025)) * (1 / (1 + 0.075)^3)) / 1000000</f>
        <v/>
      </c>
      <c r="I19" s="48">
        <f>($B$18 + ($G$12 / (0.075 - 0.03)) * (1 / (1 + 0.075)^3)) / 1000000</f>
        <v/>
      </c>
    </row>
    <row r="20">
      <c r="A20" s="28" t="inlineStr">
        <is>
          <t>PV of Terminal Value</t>
        </is>
      </c>
      <c r="B20" s="18">
        <f>B19*(1/(1+'02_Assumptions_&amp;_Scenarios'!$B$32)^3)</f>
        <v/>
      </c>
      <c r="C20" s="27" t="inlineStr">
        <is>
          <t>Discounted back 3 years to present</t>
        </is>
      </c>
      <c r="E20" s="47" t="n">
        <v>0.08500000000000001</v>
      </c>
      <c r="F20" s="48">
        <f>($B$18 + ($G$12 / (0.085 - 0.015)) * (1 / (1 + 0.085)^3)) / 1000000</f>
        <v/>
      </c>
      <c r="G20" s="48">
        <f>($B$18 + ($G$12 / (0.085 - 0.02)) * (1 / (1 + 0.085)^3)) / 1000000</f>
        <v/>
      </c>
      <c r="H20" s="48">
        <f>($B$18 + ($G$12 / (0.085 - 0.025)) * (1 / (1 + 0.085)^3)) / 1000000</f>
        <v/>
      </c>
      <c r="I20" s="48">
        <f>($B$18 + ($G$12 / (0.085 - 0.03)) * (1 / (1 + 0.085)^3)) / 1000000</f>
        <v/>
      </c>
    </row>
    <row r="21">
      <c r="A21" s="49" t="inlineStr">
        <is>
          <t>ENTERPRISE VALUE (EV)</t>
        </is>
      </c>
      <c r="B21" s="50">
        <f>B18+B20</f>
        <v/>
      </c>
      <c r="C21" s="27" t="inlineStr">
        <is>
          <t>Core operating value of business</t>
        </is>
      </c>
      <c r="E21" s="47" t="n">
        <v>0.095</v>
      </c>
      <c r="F21" s="48">
        <f>($B$18 + ($G$12 / (0.095 - 0.015)) * (1 / (1 + 0.095)^3)) / 1000000</f>
        <v/>
      </c>
      <c r="G21" s="48">
        <f>($B$18 + ($G$12 / (0.095 - 0.02)) * (1 / (1 + 0.095)^3)) / 1000000</f>
        <v/>
      </c>
      <c r="H21" s="51">
        <f>($B$18 + ($G$12 / (0.095 - 0.025)) * (1 / (1 + 0.095)^3)) / 1000000</f>
        <v/>
      </c>
      <c r="I21" s="48">
        <f>($B$18 + ($G$12 / (0.095 - 0.03)) * (1 / (1 + 0.095)^3)) / 1000000</f>
        <v/>
      </c>
    </row>
    <row r="22">
      <c r="A22" s="28" t="inlineStr">
        <is>
          <t>(-) Net Debt (Total Debt - Cash)</t>
        </is>
      </c>
      <c r="B22" s="18">
        <f>'03_3_Statement_Model'!F35-'03_3_Statement_Model'!F38</f>
        <v/>
      </c>
      <c r="C22" s="27" t="inlineStr">
        <is>
          <t>Market net indebtedness</t>
        </is>
      </c>
      <c r="E22" s="47" t="n">
        <v>0.105</v>
      </c>
      <c r="F22" s="48">
        <f>($B$18 + ($G$12 / (0.105 - 0.015)) * (1 / (1 + 0.105)^3)) / 1000000</f>
        <v/>
      </c>
      <c r="G22" s="48">
        <f>($B$18 + ($G$12 / (0.105 - 0.02)) * (1 / (1 + 0.105)^3)) / 1000000</f>
        <v/>
      </c>
      <c r="H22" s="48">
        <f>($B$18 + ($G$12 / (0.105 - 0.025)) * (1 / (1 + 0.105)^3)) / 1000000</f>
        <v/>
      </c>
      <c r="I22" s="48">
        <f>($B$18 + ($G$12 / (0.105 - 0.03)) * (1 / (1 + 0.105)^3)) / 1000000</f>
        <v/>
      </c>
    </row>
    <row r="23">
      <c r="A23" s="49" t="inlineStr">
        <is>
          <t>IMPLIED EQUITY VALUE</t>
        </is>
      </c>
      <c r="B23" s="50">
        <f>B21-B22</f>
        <v/>
      </c>
      <c r="C23" s="27" t="inlineStr">
        <is>
          <t>Value attributable to common shareholders</t>
        </is>
      </c>
      <c r="E23" s="47" t="n">
        <v>0.115</v>
      </c>
      <c r="F23" s="48">
        <f>($B$18 + ($G$12 / (0.115 - 0.015)) * (1 / (1 + 0.115)^3)) / 1000000</f>
        <v/>
      </c>
      <c r="G23" s="48">
        <f>($B$18 + ($G$12 / (0.115 - 0.02)) * (1 / (1 + 0.115)^3)) / 1000000</f>
        <v/>
      </c>
      <c r="H23" s="48">
        <f>($B$18 + ($G$12 / (0.115 - 0.025)) * (1 / (1 + 0.115)^3)) / 1000000</f>
        <v/>
      </c>
      <c r="I23" s="48">
        <f>($B$18 + ($G$12 / (0.115 - 0.03)) * (1 / (1 + 0.115)^3)) / 1000000</f>
        <v/>
      </c>
    </row>
    <row r="24">
      <c r="A24" s="28" t="inlineStr">
        <is>
          <t>XNPV (Formula Check - Exact Dates)</t>
        </is>
      </c>
      <c r="B24" s="18">
        <f>XNPV('02_Assumptions_&amp;_Scenarios'!$B$32, D12:F12, DATE(2025,{12;12;12},{31;31;31}))</f>
        <v/>
      </c>
      <c r="C24" s="27" t="inlineStr">
        <is>
          <t>Modern financial exact date discounting</t>
        </is>
      </c>
    </row>
    <row r="25">
      <c r="A25" s="28" t="inlineStr">
        <is>
          <t>PROJECT IRR (Internal Rate of Return)</t>
        </is>
      </c>
      <c r="B25" s="19">
        <f>IRR(D12:F12)</f>
        <v/>
      </c>
      <c r="C25" s="27" t="inlineStr">
        <is>
          <t>Unlevered internal return threshold</t>
        </is>
      </c>
    </row>
  </sheetData>
  <mergeCells count="3">
    <mergeCell ref="A17:D17"/>
    <mergeCell ref="E17:I17"/>
    <mergeCell ref="A1:G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5"/>
  <sheetViews>
    <sheetView showGridLines="1" workbookViewId="0">
      <selection activeCell="A1" sqref="A1"/>
    </sheetView>
  </sheetViews>
  <sheetFormatPr baseColWidth="8" defaultRowHeight="15"/>
  <cols>
    <col width="36" customWidth="1" min="1" max="1"/>
    <col width="28" customWidth="1" min="2" max="2"/>
    <col width="50" customWidth="1" min="3" max="3"/>
    <col width="42" customWidth="1" min="4" max="4"/>
    <col width="42" customWidth="1" min="5" max="5"/>
    <col width="23" customWidth="1" min="6" max="6"/>
    <col width="27" customWidth="1" min="7" max="7"/>
  </cols>
  <sheetData>
    <row r="1">
      <c r="A1" s="1" t="inlineStr">
        <is>
          <t>DEBT AMORTIZATION &amp; MULTI-METHOD ASSET DEPRECIATION</t>
        </is>
      </c>
    </row>
    <row r="2"/>
    <row r="3"/>
    <row r="4">
      <c r="A4" s="11" t="inlineStr">
        <is>
          <t>1. SENIOR TERM LOAN AMORTIZATION SCHEDULE (PMT / IPMT / PPMT)</t>
        </is>
      </c>
    </row>
    <row r="5">
      <c r="A5" s="28" t="inlineStr">
        <is>
          <t>Facility Principal Amount</t>
        </is>
      </c>
      <c r="B5" s="18" t="n">
        <v>3000000</v>
      </c>
      <c r="C5" s="27" t="inlineStr">
        <is>
          <t>Total senior credit facility borrowed</t>
        </is>
      </c>
    </row>
    <row r="6">
      <c r="A6" s="28" t="inlineStr">
        <is>
          <t>Annual Interest Rate</t>
        </is>
      </c>
      <c r="B6" s="19" t="n">
        <v>0.065</v>
      </c>
      <c r="C6" s="27" t="inlineStr">
        <is>
          <t>Contractual coupon rate</t>
        </is>
      </c>
    </row>
    <row r="7">
      <c r="A7" s="28" t="inlineStr">
        <is>
          <t>Tenor (Years)</t>
        </is>
      </c>
      <c r="B7" s="52" t="n">
        <v>5</v>
      </c>
      <c r="C7" s="27" t="inlineStr">
        <is>
          <t>Loan repayment duration</t>
        </is>
      </c>
    </row>
    <row r="8">
      <c r="A8" s="28" t="inlineStr">
        <is>
          <t>Periods Per Year</t>
        </is>
      </c>
      <c r="B8" s="52" t="n">
        <v>12</v>
      </c>
      <c r="C8" s="27" t="inlineStr">
        <is>
          <t>Monthly amortization frequency</t>
        </is>
      </c>
    </row>
    <row r="9">
      <c r="A9" s="49" t="inlineStr">
        <is>
          <t>Monthly Payment (PMT)</t>
        </is>
      </c>
      <c r="B9" s="53">
        <f>PMT(B6/B8, B7*B8, -B5)</f>
        <v/>
      </c>
      <c r="C9" s="27" t="inlineStr">
        <is>
          <t>Contractual monthly debt service (P+I)</t>
        </is>
      </c>
    </row>
    <row r="10">
      <c r="A10" s="28" t="inlineStr">
        <is>
          <t>Total 5-Year Interest Paid</t>
        </is>
      </c>
      <c r="B10" s="18">
        <f>(B9*B7*B8)-B5</f>
        <v/>
      </c>
      <c r="C10" s="27" t="inlineStr">
        <is>
          <t>Cumulative interest expense across life of loan</t>
        </is>
      </c>
    </row>
    <row r="11"/>
    <row r="12">
      <c r="A12" s="21" t="inlineStr">
        <is>
          <t>Month</t>
        </is>
      </c>
      <c r="B12" s="13" t="inlineStr">
        <is>
          <t>Beg Balance ($)</t>
        </is>
      </c>
      <c r="C12" s="13" t="inlineStr">
        <is>
          <t>Total Payment ($)</t>
        </is>
      </c>
      <c r="D12" s="13" t="inlineStr">
        <is>
          <t>Principal (PPMT) ($)</t>
        </is>
      </c>
      <c r="E12" s="13" t="inlineStr">
        <is>
          <t>Interest (IPMT) ($)</t>
        </is>
      </c>
      <c r="F12" s="13" t="inlineStr">
        <is>
          <t>Ending Balance ($)</t>
        </is>
      </c>
      <c r="G12" s="21" t="inlineStr">
        <is>
          <t>Check</t>
        </is>
      </c>
    </row>
    <row r="13">
      <c r="A13" s="22" t="n">
        <v>1</v>
      </c>
      <c r="B13" s="54">
        <f>$B$5</f>
        <v/>
      </c>
      <c r="C13" s="54">
        <f>$B$9</f>
        <v/>
      </c>
      <c r="D13" s="54">
        <f>PPMT($B$6/$B$8, A13, $B$7*$B$8, -$B$5)</f>
        <v/>
      </c>
      <c r="E13" s="54">
        <f>IPMT($B$6/$B$8, A13, $B$7*$B$8, -$B$5)</f>
        <v/>
      </c>
      <c r="F13" s="54">
        <f>B13-D13</f>
        <v/>
      </c>
      <c r="G13" s="55">
        <f>ROUND(C13-(D13+E13), 2)</f>
        <v/>
      </c>
    </row>
    <row r="14">
      <c r="A14" s="56" t="n">
        <v>2</v>
      </c>
      <c r="B14" s="57">
        <f>F13</f>
        <v/>
      </c>
      <c r="C14" s="57">
        <f>$B$9</f>
        <v/>
      </c>
      <c r="D14" s="57">
        <f>PPMT($B$6/$B$8, A14, $B$7*$B$8, -$B$5)</f>
        <v/>
      </c>
      <c r="E14" s="57">
        <f>IPMT($B$6/$B$8, A14, $B$7*$B$8, -$B$5)</f>
        <v/>
      </c>
      <c r="F14" s="57">
        <f>B14-D14</f>
        <v/>
      </c>
      <c r="G14" s="58">
        <f>ROUND(C14-(D14+E14), 2)</f>
        <v/>
      </c>
    </row>
    <row r="15">
      <c r="A15" s="22" t="n">
        <v>3</v>
      </c>
      <c r="B15" s="54">
        <f>F14</f>
        <v/>
      </c>
      <c r="C15" s="54">
        <f>$B$9</f>
        <v/>
      </c>
      <c r="D15" s="54">
        <f>PPMT($B$6/$B$8, A15, $B$7*$B$8, -$B$5)</f>
        <v/>
      </c>
      <c r="E15" s="54">
        <f>IPMT($B$6/$B$8, A15, $B$7*$B$8, -$B$5)</f>
        <v/>
      </c>
      <c r="F15" s="54">
        <f>B15-D15</f>
        <v/>
      </c>
      <c r="G15" s="55">
        <f>ROUND(C15-(D15+E15), 2)</f>
        <v/>
      </c>
    </row>
    <row r="16">
      <c r="A16" s="56" t="n">
        <v>4</v>
      </c>
      <c r="B16" s="57">
        <f>F15</f>
        <v/>
      </c>
      <c r="C16" s="57">
        <f>$B$9</f>
        <v/>
      </c>
      <c r="D16" s="57">
        <f>PPMT($B$6/$B$8, A16, $B$7*$B$8, -$B$5)</f>
        <v/>
      </c>
      <c r="E16" s="57">
        <f>IPMT($B$6/$B$8, A16, $B$7*$B$8, -$B$5)</f>
        <v/>
      </c>
      <c r="F16" s="57">
        <f>B16-D16</f>
        <v/>
      </c>
      <c r="G16" s="58">
        <f>ROUND(C16-(D16+E16), 2)</f>
        <v/>
      </c>
    </row>
    <row r="17">
      <c r="A17" s="22" t="n">
        <v>5</v>
      </c>
      <c r="B17" s="54">
        <f>F16</f>
        <v/>
      </c>
      <c r="C17" s="54">
        <f>$B$9</f>
        <v/>
      </c>
      <c r="D17" s="54">
        <f>PPMT($B$6/$B$8, A17, $B$7*$B$8, -$B$5)</f>
        <v/>
      </c>
      <c r="E17" s="54">
        <f>IPMT($B$6/$B$8, A17, $B$7*$B$8, -$B$5)</f>
        <v/>
      </c>
      <c r="F17" s="54">
        <f>B17-D17</f>
        <v/>
      </c>
      <c r="G17" s="55">
        <f>ROUND(C17-(D17+E17), 2)</f>
        <v/>
      </c>
    </row>
    <row r="18">
      <c r="A18" s="56" t="n">
        <v>6</v>
      </c>
      <c r="B18" s="57">
        <f>F17</f>
        <v/>
      </c>
      <c r="C18" s="57">
        <f>$B$9</f>
        <v/>
      </c>
      <c r="D18" s="57">
        <f>PPMT($B$6/$B$8, A18, $B$7*$B$8, -$B$5)</f>
        <v/>
      </c>
      <c r="E18" s="57">
        <f>IPMT($B$6/$B$8, A18, $B$7*$B$8, -$B$5)</f>
        <v/>
      </c>
      <c r="F18" s="57">
        <f>B18-D18</f>
        <v/>
      </c>
      <c r="G18" s="58">
        <f>ROUND(C18-(D18+E18), 2)</f>
        <v/>
      </c>
    </row>
    <row r="19">
      <c r="A19" s="22" t="n">
        <v>7</v>
      </c>
      <c r="B19" s="54">
        <f>F18</f>
        <v/>
      </c>
      <c r="C19" s="54">
        <f>$B$9</f>
        <v/>
      </c>
      <c r="D19" s="54">
        <f>PPMT($B$6/$B$8, A19, $B$7*$B$8, -$B$5)</f>
        <v/>
      </c>
      <c r="E19" s="54">
        <f>IPMT($B$6/$B$8, A19, $B$7*$B$8, -$B$5)</f>
        <v/>
      </c>
      <c r="F19" s="54">
        <f>B19-D19</f>
        <v/>
      </c>
      <c r="G19" s="55">
        <f>ROUND(C19-(D19+E19), 2)</f>
        <v/>
      </c>
    </row>
    <row r="20">
      <c r="A20" s="56" t="n">
        <v>8</v>
      </c>
      <c r="B20" s="57">
        <f>F19</f>
        <v/>
      </c>
      <c r="C20" s="57">
        <f>$B$9</f>
        <v/>
      </c>
      <c r="D20" s="57">
        <f>PPMT($B$6/$B$8, A20, $B$7*$B$8, -$B$5)</f>
        <v/>
      </c>
      <c r="E20" s="57">
        <f>IPMT($B$6/$B$8, A20, $B$7*$B$8, -$B$5)</f>
        <v/>
      </c>
      <c r="F20" s="57">
        <f>B20-D20</f>
        <v/>
      </c>
      <c r="G20" s="58">
        <f>ROUND(C20-(D20+E20), 2)</f>
        <v/>
      </c>
    </row>
    <row r="21">
      <c r="A21" s="22" t="n">
        <v>9</v>
      </c>
      <c r="B21" s="54">
        <f>F20</f>
        <v/>
      </c>
      <c r="C21" s="54">
        <f>$B$9</f>
        <v/>
      </c>
      <c r="D21" s="54">
        <f>PPMT($B$6/$B$8, A21, $B$7*$B$8, -$B$5)</f>
        <v/>
      </c>
      <c r="E21" s="54">
        <f>IPMT($B$6/$B$8, A21, $B$7*$B$8, -$B$5)</f>
        <v/>
      </c>
      <c r="F21" s="54">
        <f>B21-D21</f>
        <v/>
      </c>
      <c r="G21" s="55">
        <f>ROUND(C21-(D21+E21), 2)</f>
        <v/>
      </c>
    </row>
    <row r="22">
      <c r="A22" s="56" t="n">
        <v>10</v>
      </c>
      <c r="B22" s="57">
        <f>F21</f>
        <v/>
      </c>
      <c r="C22" s="57">
        <f>$B$9</f>
        <v/>
      </c>
      <c r="D22" s="57">
        <f>PPMT($B$6/$B$8, A22, $B$7*$B$8, -$B$5)</f>
        <v/>
      </c>
      <c r="E22" s="57">
        <f>IPMT($B$6/$B$8, A22, $B$7*$B$8, -$B$5)</f>
        <v/>
      </c>
      <c r="F22" s="57">
        <f>B22-D22</f>
        <v/>
      </c>
      <c r="G22" s="58">
        <f>ROUND(C22-(D22+E22), 2)</f>
        <v/>
      </c>
    </row>
    <row r="23">
      <c r="A23" s="22" t="n">
        <v>11</v>
      </c>
      <c r="B23" s="54">
        <f>F22</f>
        <v/>
      </c>
      <c r="C23" s="54">
        <f>$B$9</f>
        <v/>
      </c>
      <c r="D23" s="54">
        <f>PPMT($B$6/$B$8, A23, $B$7*$B$8, -$B$5)</f>
        <v/>
      </c>
      <c r="E23" s="54">
        <f>IPMT($B$6/$B$8, A23, $B$7*$B$8, -$B$5)</f>
        <v/>
      </c>
      <c r="F23" s="54">
        <f>B23-D23</f>
        <v/>
      </c>
      <c r="G23" s="55">
        <f>ROUND(C23-(D23+E23), 2)</f>
        <v/>
      </c>
    </row>
    <row r="24">
      <c r="A24" s="56" t="n">
        <v>12</v>
      </c>
      <c r="B24" s="57">
        <f>F23</f>
        <v/>
      </c>
      <c r="C24" s="57">
        <f>$B$9</f>
        <v/>
      </c>
      <c r="D24" s="57">
        <f>PPMT($B$6/$B$8, A24, $B$7*$B$8, -$B$5)</f>
        <v/>
      </c>
      <c r="E24" s="57">
        <f>IPMT($B$6/$B$8, A24, $B$7*$B$8, -$B$5)</f>
        <v/>
      </c>
      <c r="F24" s="57">
        <f>B24-D24</f>
        <v/>
      </c>
      <c r="G24" s="58">
        <f>ROUND(C24-(D24+E24), 2)</f>
        <v/>
      </c>
    </row>
    <row r="25"/>
    <row r="26"/>
    <row r="27">
      <c r="A27" s="11" t="inlineStr">
        <is>
          <t>2. MULTI-METHOD DEPRECIATION SCHEDULE (SLN, DB, SYD COMPARISON)</t>
        </is>
      </c>
    </row>
    <row r="28">
      <c r="A28" s="2" t="inlineStr">
        <is>
          <t>Asset Cost Basis ($):</t>
        </is>
      </c>
      <c r="B28" s="59" t="n">
        <v>5000000</v>
      </c>
      <c r="C28" s="2" t="inlineStr">
        <is>
          <t>Useful Life (Years):</t>
        </is>
      </c>
      <c r="D28" s="24" t="n">
        <v>5</v>
      </c>
      <c r="E28" s="2" t="inlineStr">
        <is>
          <t>Salvage Value ($):</t>
        </is>
      </c>
      <c r="F28" s="59" t="n">
        <v>500000</v>
      </c>
    </row>
    <row r="29"/>
    <row r="30">
      <c r="A30" s="21" t="inlineStr">
        <is>
          <t>Year</t>
        </is>
      </c>
      <c r="B30" s="13" t="inlineStr">
        <is>
          <t>Straight Line (SLN)</t>
        </is>
      </c>
      <c r="C30" s="13" t="inlineStr">
        <is>
          <t>Declining Balance (DB)</t>
        </is>
      </c>
      <c r="D30" s="13" t="inlineStr">
        <is>
          <t>Sum-of-Years' Digits (SYD)</t>
        </is>
      </c>
      <c r="E30" s="13" t="inlineStr">
        <is>
          <t>Cumulative SLN</t>
        </is>
      </c>
      <c r="F30" s="13" t="inlineStr">
        <is>
          <t>Net Book Value (SLN)</t>
        </is>
      </c>
      <c r="G30" s="21" t="inlineStr">
        <is>
          <t>Recommended</t>
        </is>
      </c>
    </row>
    <row r="31">
      <c r="A31" s="22" t="inlineStr">
        <is>
          <t>Year 1</t>
        </is>
      </c>
      <c r="B31" s="60">
        <f>SLN($B$28, $F$28, $D$28)</f>
        <v/>
      </c>
      <c r="C31" s="60">
        <f>DB($B$28, $F$28, $D$28, 1)</f>
        <v/>
      </c>
      <c r="D31" s="60">
        <f>SYD($B$28, $F$28, $D$28, 1)</f>
        <v/>
      </c>
      <c r="E31" s="60">
        <f>B31</f>
        <v/>
      </c>
      <c r="F31" s="60">
        <f>$B$28-E31</f>
        <v/>
      </c>
      <c r="G31" s="22" t="inlineStr">
        <is>
          <t>GAAP / IFRS Base</t>
        </is>
      </c>
    </row>
    <row r="32">
      <c r="A32" s="56" t="inlineStr">
        <is>
          <t>Year 2</t>
        </is>
      </c>
      <c r="B32" s="61">
        <f>SLN($B$28, $F$28, $D$28)</f>
        <v/>
      </c>
      <c r="C32" s="61">
        <f>DB($B$28, $F$28, $D$28, 2)</f>
        <v/>
      </c>
      <c r="D32" s="61">
        <f>SYD($B$28, $F$28, $D$28, 2)</f>
        <v/>
      </c>
      <c r="E32" s="61">
        <f>E31+B32</f>
        <v/>
      </c>
      <c r="F32" s="61">
        <f>$B$28-E32</f>
        <v/>
      </c>
      <c r="G32" s="56" t="inlineStr">
        <is>
          <t>GAAP / IFRS Base</t>
        </is>
      </c>
    </row>
    <row r="33">
      <c r="A33" s="22" t="inlineStr">
        <is>
          <t>Year 3</t>
        </is>
      </c>
      <c r="B33" s="60">
        <f>SLN($B$28, $F$28, $D$28)</f>
        <v/>
      </c>
      <c r="C33" s="60">
        <f>DB($B$28, $F$28, $D$28, 3)</f>
        <v/>
      </c>
      <c r="D33" s="60">
        <f>SYD($B$28, $F$28, $D$28, 3)</f>
        <v/>
      </c>
      <c r="E33" s="60">
        <f>E32+B33</f>
        <v/>
      </c>
      <c r="F33" s="60">
        <f>$B$28-E33</f>
        <v/>
      </c>
      <c r="G33" s="22" t="inlineStr">
        <is>
          <t>GAAP / IFRS Base</t>
        </is>
      </c>
    </row>
    <row r="34">
      <c r="A34" s="56" t="inlineStr">
        <is>
          <t>Year 4</t>
        </is>
      </c>
      <c r="B34" s="61">
        <f>SLN($B$28, $F$28, $D$28)</f>
        <v/>
      </c>
      <c r="C34" s="61">
        <f>DB($B$28, $F$28, $D$28, 4)</f>
        <v/>
      </c>
      <c r="D34" s="61">
        <f>SYD($B$28, $F$28, $D$28, 4)</f>
        <v/>
      </c>
      <c r="E34" s="61">
        <f>E33+B34</f>
        <v/>
      </c>
      <c r="F34" s="61">
        <f>$B$28-E34</f>
        <v/>
      </c>
      <c r="G34" s="56" t="inlineStr">
        <is>
          <t>GAAP / IFRS Base</t>
        </is>
      </c>
    </row>
    <row r="35">
      <c r="A35" s="22" t="inlineStr">
        <is>
          <t>Year 5</t>
        </is>
      </c>
      <c r="B35" s="60">
        <f>SLN($B$28, $F$28, $D$28)</f>
        <v/>
      </c>
      <c r="C35" s="60">
        <f>DB($B$28, $F$28, $D$28, 5)</f>
        <v/>
      </c>
      <c r="D35" s="60">
        <f>SYD($B$28, $F$28, $D$28, 5)</f>
        <v/>
      </c>
      <c r="E35" s="60">
        <f>E34+B35</f>
        <v/>
      </c>
      <c r="F35" s="60">
        <f>$B$28-E35</f>
        <v/>
      </c>
      <c r="G35" s="22" t="inlineStr">
        <is>
          <t>GAAP / IFRS Base</t>
        </is>
      </c>
    </row>
  </sheetData>
  <mergeCells count="3">
    <mergeCell ref="A27:G27"/>
    <mergeCell ref="A4:E4"/>
    <mergeCell ref="A1:G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2"/>
  <sheetViews>
    <sheetView showGridLines="1" workbookViewId="0">
      <selection activeCell="A1" sqref="A1"/>
    </sheetView>
  </sheetViews>
  <sheetFormatPr baseColWidth="8" defaultRowHeight="15"/>
  <cols>
    <col width="34" customWidth="1" min="1" max="1"/>
    <col width="37" customWidth="1" min="2" max="2"/>
    <col width="48" customWidth="1" min="3" max="3"/>
    <col width="48" customWidth="1" min="4" max="4"/>
    <col width="52" customWidth="1" min="5" max="5"/>
    <col width="15" customWidth="1" min="6" max="6"/>
    <col width="47" customWidth="1" min="7" max="7"/>
    <col width="38" customWidth="1" min="8" max="8"/>
  </cols>
  <sheetData>
    <row r="1">
      <c r="A1" s="1" t="inlineStr">
        <is>
          <t>DEPARTMENTAL BUDGET VS ACTUAL (BvA) VARIANCE ENGINE</t>
        </is>
      </c>
    </row>
    <row r="2"/>
    <row r="3"/>
    <row r="4">
      <c r="A4" s="31" t="inlineStr">
        <is>
          <t>Cost Center / Line Item</t>
        </is>
      </c>
      <c r="B4" s="31" t="inlineStr">
        <is>
          <t>Department</t>
        </is>
      </c>
      <c r="C4" s="32" t="inlineStr">
        <is>
          <t>Annual Budget ($)</t>
        </is>
      </c>
      <c r="D4" s="32" t="inlineStr">
        <is>
          <t>YTD Actuals ($)</t>
        </is>
      </c>
      <c r="E4" s="32" t="inlineStr">
        <is>
          <t>Variance ($)</t>
        </is>
      </c>
      <c r="F4" s="32" t="inlineStr">
        <is>
          <t>Variance (%)</t>
        </is>
      </c>
      <c r="G4" s="62" t="inlineStr">
        <is>
          <t>Status &amp; Flag</t>
        </is>
      </c>
      <c r="H4" s="62" t="inlineStr">
        <is>
          <t>Audit Check</t>
        </is>
      </c>
    </row>
    <row r="5">
      <c r="A5" s="63" t="inlineStr">
        <is>
          <t>Direct Labor &amp; Engineering</t>
        </is>
      </c>
      <c r="B5" s="63" t="inlineStr">
        <is>
          <t>R&amp;D</t>
        </is>
      </c>
      <c r="C5" s="61" t="n">
        <v>1200000</v>
      </c>
      <c r="D5" s="61" t="n">
        <v>1140000</v>
      </c>
      <c r="E5" s="64">
        <f>D5-C5</f>
        <v/>
      </c>
      <c r="F5" s="65">
        <f>E5/C5</f>
        <v/>
      </c>
      <c r="G5" s="66">
        <f>IF(E5&gt;15000, "🚨 OVER BUDGET", IF(E5&lt;-15000, "🟢 FAVORABLE", "✅ ON TARGET"))</f>
        <v/>
      </c>
      <c r="H5" s="67">
        <f>IF(ISNUMBER(C5+D5), "OK", "ERR")</f>
        <v/>
      </c>
    </row>
    <row r="6">
      <c r="A6" s="28" t="inlineStr">
        <is>
          <t>Cloud Infrastructure &amp; Servers</t>
        </is>
      </c>
      <c r="B6" s="28" t="inlineStr">
        <is>
          <t>R&amp;D</t>
        </is>
      </c>
      <c r="C6" s="60" t="n">
        <v>450000</v>
      </c>
      <c r="D6" s="60" t="n">
        <v>485000</v>
      </c>
      <c r="E6" s="68">
        <f>D6-C6</f>
        <v/>
      </c>
      <c r="F6" s="69">
        <f>E6/C6</f>
        <v/>
      </c>
      <c r="G6" s="20">
        <f>IF(E6&gt;15000, "🚨 OVER BUDGET", IF(E6&lt;-15000, "🟢 FAVORABLE", "✅ ON TARGET"))</f>
        <v/>
      </c>
      <c r="H6" s="70">
        <f>IF(ISNUMBER(C6+D6), "OK", "ERR")</f>
        <v/>
      </c>
    </row>
    <row r="7">
      <c r="A7" s="63" t="inlineStr">
        <is>
          <t>Software Licenses &amp; Tools</t>
        </is>
      </c>
      <c r="B7" s="63" t="inlineStr">
        <is>
          <t>IT</t>
        </is>
      </c>
      <c r="C7" s="61" t="n">
        <v>220000</v>
      </c>
      <c r="D7" s="61" t="n">
        <v>210000</v>
      </c>
      <c r="E7" s="64">
        <f>D7-C7</f>
        <v/>
      </c>
      <c r="F7" s="65">
        <f>E7/C7</f>
        <v/>
      </c>
      <c r="G7" s="66">
        <f>IF(E7&gt;15000, "🚨 OVER BUDGET", IF(E7&lt;-15000, "🟢 FAVORABLE", "✅ ON TARGET"))</f>
        <v/>
      </c>
      <c r="H7" s="67">
        <f>IF(ISNUMBER(C7+D7), "OK", "ERR")</f>
        <v/>
      </c>
    </row>
    <row r="8">
      <c r="A8" s="28" t="inlineStr">
        <is>
          <t>Sales Commission &amp; Bonuses</t>
        </is>
      </c>
      <c r="B8" s="28" t="inlineStr">
        <is>
          <t>Sales</t>
        </is>
      </c>
      <c r="C8" s="60" t="n">
        <v>650000</v>
      </c>
      <c r="D8" s="60" t="n">
        <v>710000</v>
      </c>
      <c r="E8" s="68">
        <f>D8-C8</f>
        <v/>
      </c>
      <c r="F8" s="69">
        <f>E8/C8</f>
        <v/>
      </c>
      <c r="G8" s="20">
        <f>IF(E8&gt;15000, "🚨 OVER BUDGET", IF(E8&lt;-15000, "🟢 FAVORABLE", "✅ ON TARGET"))</f>
        <v/>
      </c>
      <c r="H8" s="70">
        <f>IF(ISNUMBER(C8+D8), "OK", "ERR")</f>
        <v/>
      </c>
    </row>
    <row r="9">
      <c r="A9" s="63" t="inlineStr">
        <is>
          <t>Digital Marketing &amp; Ads</t>
        </is>
      </c>
      <c r="B9" s="63" t="inlineStr">
        <is>
          <t>Marketing</t>
        </is>
      </c>
      <c r="C9" s="61" t="n">
        <v>500000</v>
      </c>
      <c r="D9" s="61" t="n">
        <v>480000</v>
      </c>
      <c r="E9" s="64">
        <f>D9-C9</f>
        <v/>
      </c>
      <c r="F9" s="65">
        <f>E9/C9</f>
        <v/>
      </c>
      <c r="G9" s="66">
        <f>IF(E9&gt;15000, "🚨 OVER BUDGET", IF(E9&lt;-15000, "🟢 FAVORABLE", "✅ ON TARGET"))</f>
        <v/>
      </c>
      <c r="H9" s="67">
        <f>IF(ISNUMBER(C9+D9), "OK", "ERR")</f>
        <v/>
      </c>
    </row>
    <row r="10">
      <c r="A10" s="28" t="inlineStr">
        <is>
          <t>Executive &amp; Management Salaries</t>
        </is>
      </c>
      <c r="B10" s="28" t="inlineStr">
        <is>
          <t>G&amp;A</t>
        </is>
      </c>
      <c r="C10" s="60" t="n">
        <v>950000</v>
      </c>
      <c r="D10" s="60" t="n">
        <v>950000</v>
      </c>
      <c r="E10" s="68">
        <f>D10-C10</f>
        <v/>
      </c>
      <c r="F10" s="69">
        <f>E10/C10</f>
        <v/>
      </c>
      <c r="G10" s="20">
        <f>IF(E10&gt;15000, "🚨 OVER BUDGET", IF(E10&lt;-15000, "🟢 FAVORABLE", "✅ ON TARGET"))</f>
        <v/>
      </c>
      <c r="H10" s="70">
        <f>IF(ISNUMBER(C10+D10), "OK", "ERR")</f>
        <v/>
      </c>
    </row>
    <row r="11">
      <c r="A11" s="63" t="inlineStr">
        <is>
          <t>Office Lease &amp; Facilities</t>
        </is>
      </c>
      <c r="B11" s="63" t="inlineStr">
        <is>
          <t>G&amp;A</t>
        </is>
      </c>
      <c r="C11" s="61" t="n">
        <v>360000</v>
      </c>
      <c r="D11" s="61" t="n">
        <v>360000</v>
      </c>
      <c r="E11" s="64">
        <f>D11-C11</f>
        <v/>
      </c>
      <c r="F11" s="65">
        <f>E11/C11</f>
        <v/>
      </c>
      <c r="G11" s="66">
        <f>IF(E11&gt;15000, "🚨 OVER BUDGET", IF(E11&lt;-15000, "🟢 FAVORABLE", "✅ ON TARGET"))</f>
        <v/>
      </c>
      <c r="H11" s="67">
        <f>IF(ISNUMBER(C11+D11), "OK", "ERR")</f>
        <v/>
      </c>
    </row>
    <row r="12">
      <c r="A12" s="28" t="inlineStr">
        <is>
          <t>Legal, Audit &amp; Compliance</t>
        </is>
      </c>
      <c r="B12" s="28" t="inlineStr">
        <is>
          <t>Legal</t>
        </is>
      </c>
      <c r="C12" s="60" t="n">
        <v>180000</v>
      </c>
      <c r="D12" s="60" t="n">
        <v>225000</v>
      </c>
      <c r="E12" s="68">
        <f>D12-C12</f>
        <v/>
      </c>
      <c r="F12" s="69">
        <f>E12/C12</f>
        <v/>
      </c>
      <c r="G12" s="20">
        <f>IF(E12&gt;15000, "🚨 OVER BUDGET", IF(E12&lt;-15000, "🟢 FAVORABLE", "✅ ON TARGET"))</f>
        <v/>
      </c>
      <c r="H12" s="70">
        <f>IF(ISNUMBER(C12+D12), "OK", "ERR")</f>
        <v/>
      </c>
    </row>
    <row r="13">
      <c r="A13" s="63" t="inlineStr">
        <is>
          <t>Travel &amp; Entertainment (T&amp;E)</t>
        </is>
      </c>
      <c r="B13" s="63" t="inlineStr">
        <is>
          <t>Sales</t>
        </is>
      </c>
      <c r="C13" s="61" t="n">
        <v>140000</v>
      </c>
      <c r="D13" s="61" t="n">
        <v>165000</v>
      </c>
      <c r="E13" s="64">
        <f>D13-C13</f>
        <v/>
      </c>
      <c r="F13" s="65">
        <f>E13/C13</f>
        <v/>
      </c>
      <c r="G13" s="66">
        <f>IF(E13&gt;15000, "🚨 OVER BUDGET", IF(E13&lt;-15000, "🟢 FAVORABLE", "✅ ON TARGET"))</f>
        <v/>
      </c>
      <c r="H13" s="67">
        <f>IF(ISNUMBER(C13+D13), "OK", "ERR")</f>
        <v/>
      </c>
    </row>
    <row r="14">
      <c r="A14" s="28" t="inlineStr">
        <is>
          <t>Customer Support &amp; Success</t>
        </is>
      </c>
      <c r="B14" s="28" t="inlineStr">
        <is>
          <t>Operations</t>
        </is>
      </c>
      <c r="C14" s="60" t="n">
        <v>320000</v>
      </c>
      <c r="D14" s="60" t="n">
        <v>298000</v>
      </c>
      <c r="E14" s="68">
        <f>D14-C14</f>
        <v/>
      </c>
      <c r="F14" s="69">
        <f>E14/C14</f>
        <v/>
      </c>
      <c r="G14" s="20">
        <f>IF(E14&gt;15000, "🚨 OVER BUDGET", IF(E14&lt;-15000, "🟢 FAVORABLE", "✅ ON TARGET"))</f>
        <v/>
      </c>
      <c r="H14" s="70">
        <f>IF(ISNUMBER(C14+D14), "OK", "ERR")</f>
        <v/>
      </c>
    </row>
    <row r="15">
      <c r="A15" s="63" t="inlineStr">
        <is>
          <t>Recruiting &amp; Talent Acquisition</t>
        </is>
      </c>
      <c r="B15" s="63" t="inlineStr">
        <is>
          <t>HR</t>
        </is>
      </c>
      <c r="C15" s="61" t="n">
        <v>150000</v>
      </c>
      <c r="D15" s="61" t="n">
        <v>175000</v>
      </c>
      <c r="E15" s="64">
        <f>D15-C15</f>
        <v/>
      </c>
      <c r="F15" s="65">
        <f>E15/C15</f>
        <v/>
      </c>
      <c r="G15" s="66">
        <f>IF(E15&gt;15000, "🚨 OVER BUDGET", IF(E15&lt;-15000, "🟢 FAVORABLE", "✅ ON TARGET"))</f>
        <v/>
      </c>
      <c r="H15" s="67">
        <f>IF(ISNUMBER(C15+D15), "OK", "ERR")</f>
        <v/>
      </c>
    </row>
    <row r="16">
      <c r="A16" s="28" t="inlineStr">
        <is>
          <t>Employee Health &amp; Benefits</t>
        </is>
      </c>
      <c r="B16" s="28" t="inlineStr">
        <is>
          <t>HR</t>
        </is>
      </c>
      <c r="C16" s="60" t="n">
        <v>280000</v>
      </c>
      <c r="D16" s="60" t="n">
        <v>275000</v>
      </c>
      <c r="E16" s="68">
        <f>D16-C16</f>
        <v/>
      </c>
      <c r="F16" s="69">
        <f>E16/C16</f>
        <v/>
      </c>
      <c r="G16" s="20">
        <f>IF(E16&gt;15000, "🚨 OVER BUDGET", IF(E16&lt;-15000, "🟢 FAVORABLE", "✅ ON TARGET"))</f>
        <v/>
      </c>
      <c r="H16" s="70">
        <f>IF(ISNUMBER(C16+D16), "OK", "ERR")</f>
        <v/>
      </c>
    </row>
    <row r="17">
      <c r="A17" s="63" t="inlineStr">
        <is>
          <t>Cybersecurity &amp; Penetration Testing</t>
        </is>
      </c>
      <c r="B17" s="63" t="inlineStr">
        <is>
          <t>IT</t>
        </is>
      </c>
      <c r="C17" s="61" t="n">
        <v>120000</v>
      </c>
      <c r="D17" s="61" t="n">
        <v>115000</v>
      </c>
      <c r="E17" s="64">
        <f>D17-C17</f>
        <v/>
      </c>
      <c r="F17" s="65">
        <f>E17/C17</f>
        <v/>
      </c>
      <c r="G17" s="66">
        <f>IF(E17&gt;15000, "🚨 OVER BUDGET", IF(E17&lt;-15000, "🟢 FAVORABLE", "✅ ON TARGET"))</f>
        <v/>
      </c>
      <c r="H17" s="67">
        <f>IF(ISNUMBER(C17+D17), "OK", "ERR")</f>
        <v/>
      </c>
    </row>
    <row r="18">
      <c r="A18" s="28" t="inlineStr">
        <is>
          <t>Payment Processing Fees</t>
        </is>
      </c>
      <c r="B18" s="28" t="inlineStr">
        <is>
          <t>Finance</t>
        </is>
      </c>
      <c r="C18" s="60" t="n">
        <v>190000</v>
      </c>
      <c r="D18" s="60" t="n">
        <v>205000</v>
      </c>
      <c r="E18" s="68">
        <f>D18-C18</f>
        <v/>
      </c>
      <c r="F18" s="69">
        <f>E18/C18</f>
        <v/>
      </c>
      <c r="G18" s="20">
        <f>IF(E18&gt;15000, "🚨 OVER BUDGET", IF(E18&lt;-15000, "🟢 FAVORABLE", "✅ ON TARGET"))</f>
        <v/>
      </c>
      <c r="H18" s="70">
        <f>IF(ISNUMBER(C18+D18), "OK", "ERR")</f>
        <v/>
      </c>
    </row>
    <row r="19">
      <c r="A19" s="63" t="inlineStr">
        <is>
          <t>Contingency &amp; Miscellaneous</t>
        </is>
      </c>
      <c r="B19" s="63" t="inlineStr">
        <is>
          <t>G&amp;A</t>
        </is>
      </c>
      <c r="C19" s="61" t="n">
        <v>100000</v>
      </c>
      <c r="D19" s="61" t="n">
        <v>42000</v>
      </c>
      <c r="E19" s="64">
        <f>D19-C19</f>
        <v/>
      </c>
      <c r="F19" s="65">
        <f>E19/C19</f>
        <v/>
      </c>
      <c r="G19" s="66">
        <f>IF(E19&gt;15000, "🚨 OVER BUDGET", IF(E19&lt;-15000, "🟢 FAVORABLE", "✅ ON TARGET"))</f>
        <v/>
      </c>
      <c r="H19" s="67">
        <f>IF(ISNUMBER(C19+D19), "OK", "ERR")</f>
        <v/>
      </c>
    </row>
    <row r="20">
      <c r="A20" s="71" t="inlineStr">
        <is>
          <t>CONSOLIDATED EXPENSES TOTAL</t>
        </is>
      </c>
      <c r="B20" s="71" t="inlineStr">
        <is>
          <t>All Depts</t>
        </is>
      </c>
      <c r="C20" s="72">
        <f>SUM(C5:C19)</f>
        <v/>
      </c>
      <c r="D20" s="72">
        <f>SUM(D5:D19)</f>
        <v/>
      </c>
      <c r="E20" s="73">
        <f>D20-C20</f>
        <v/>
      </c>
      <c r="F20" s="74">
        <f>E20/C20</f>
        <v/>
      </c>
      <c r="G20" s="75">
        <f>IF(E20&gt;0, "🚨 NET DEFICIT", "🟢 NET SURPLUS")</f>
        <v/>
      </c>
      <c r="H20" s="75" t="inlineStr">
        <is>
          <t>BALANCED</t>
        </is>
      </c>
    </row>
    <row r="21"/>
    <row r="22"/>
    <row r="23">
      <c r="A23" s="11" t="inlineStr">
        <is>
          <t>DEPARTMENTAL SUMMARY ROLLUP VIA SUMIFS &amp; AVERAGEIFS</t>
        </is>
      </c>
    </row>
    <row r="24">
      <c r="A24" s="12" t="inlineStr">
        <is>
          <t>Department</t>
        </is>
      </c>
      <c r="B24" s="13" t="inlineStr">
        <is>
          <t>Line Items (COUNTIF)</t>
        </is>
      </c>
      <c r="C24" s="13" t="inlineStr">
        <is>
          <t>Total Budget ($)</t>
        </is>
      </c>
      <c r="D24" s="13" t="inlineStr">
        <is>
          <t>Total Actuals ($)</t>
        </is>
      </c>
      <c r="E24" s="13" t="inlineStr">
        <is>
          <t>Average Line Variance</t>
        </is>
      </c>
    </row>
    <row r="25">
      <c r="A25" s="24" t="inlineStr">
        <is>
          <t>R&amp;D</t>
        </is>
      </c>
      <c r="B25" s="76">
        <f>COUNTIF($B$5:$B$19, "R&amp;D")</f>
        <v/>
      </c>
      <c r="C25" s="77">
        <f>SUMIFS($C$5:$C$19, $B$5:$B$19, "R&amp;D")</f>
        <v/>
      </c>
      <c r="D25" s="77">
        <f>SUMIFS($D$5:$D$19, $B$5:$B$19, "R&amp;D")</f>
        <v/>
      </c>
      <c r="E25" s="78">
        <f>AVERAGEIFS($E$5:$E$19, $B$5:$B$19, "R&amp;D")</f>
        <v/>
      </c>
    </row>
    <row r="26">
      <c r="A26" s="24" t="inlineStr">
        <is>
          <t>Sales</t>
        </is>
      </c>
      <c r="B26" s="76">
        <f>COUNTIF($B$5:$B$19, "Sales")</f>
        <v/>
      </c>
      <c r="C26" s="77">
        <f>SUMIFS($C$5:$C$19, $B$5:$B$19, "Sales")</f>
        <v/>
      </c>
      <c r="D26" s="77">
        <f>SUMIFS($D$5:$D$19, $B$5:$B$19, "Sales")</f>
        <v/>
      </c>
      <c r="E26" s="78">
        <f>AVERAGEIFS($E$5:$E$19, $B$5:$B$19, "Sales")</f>
        <v/>
      </c>
    </row>
    <row r="27">
      <c r="A27" s="24" t="inlineStr">
        <is>
          <t>G&amp;A</t>
        </is>
      </c>
      <c r="B27" s="76">
        <f>COUNTIF($B$5:$B$19, "G&amp;A")</f>
        <v/>
      </c>
      <c r="C27" s="77">
        <f>SUMIFS($C$5:$C$19, $B$5:$B$19, "G&amp;A")</f>
        <v/>
      </c>
      <c r="D27" s="77">
        <f>SUMIFS($D$5:$D$19, $B$5:$B$19, "G&amp;A")</f>
        <v/>
      </c>
      <c r="E27" s="78">
        <f>AVERAGEIFS($E$5:$E$19, $B$5:$B$19, "G&amp;A")</f>
        <v/>
      </c>
    </row>
    <row r="28">
      <c r="A28" s="24" t="inlineStr">
        <is>
          <t>IT</t>
        </is>
      </c>
      <c r="B28" s="76">
        <f>COUNTIF($B$5:$B$19, "IT")</f>
        <v/>
      </c>
      <c r="C28" s="77">
        <f>SUMIFS($C$5:$C$19, $B$5:$B$19, "IT")</f>
        <v/>
      </c>
      <c r="D28" s="77">
        <f>SUMIFS($D$5:$D$19, $B$5:$B$19, "IT")</f>
        <v/>
      </c>
      <c r="E28" s="78">
        <f>AVERAGEIFS($E$5:$E$19, $B$5:$B$19, "IT")</f>
        <v/>
      </c>
    </row>
    <row r="29">
      <c r="A29" s="24" t="inlineStr">
        <is>
          <t>HR</t>
        </is>
      </c>
      <c r="B29" s="76">
        <f>COUNTIF($B$5:$B$19, "HR")</f>
        <v/>
      </c>
      <c r="C29" s="77">
        <f>SUMIFS($C$5:$C$19, $B$5:$B$19, "HR")</f>
        <v/>
      </c>
      <c r="D29" s="77">
        <f>SUMIFS($D$5:$D$19, $B$5:$B$19, "HR")</f>
        <v/>
      </c>
      <c r="E29" s="78">
        <f>AVERAGEIFS($E$5:$E$19, $B$5:$B$19, "HR")</f>
        <v/>
      </c>
    </row>
    <row r="30">
      <c r="A30" s="24" t="inlineStr">
        <is>
          <t>Operations</t>
        </is>
      </c>
      <c r="B30" s="76">
        <f>COUNTIF($B$5:$B$19, "Operations")</f>
        <v/>
      </c>
      <c r="C30" s="77">
        <f>SUMIFS($C$5:$C$19, $B$5:$B$19, "Operations")</f>
        <v/>
      </c>
      <c r="D30" s="77">
        <f>SUMIFS($D$5:$D$19, $B$5:$B$19, "Operations")</f>
        <v/>
      </c>
      <c r="E30" s="78">
        <f>AVERAGEIFS($E$5:$E$19, $B$5:$B$19, "Operations")</f>
        <v/>
      </c>
    </row>
    <row r="31">
      <c r="A31" s="24" t="inlineStr">
        <is>
          <t>Legal</t>
        </is>
      </c>
      <c r="B31" s="76">
        <f>COUNTIF($B$5:$B$19, "Legal")</f>
        <v/>
      </c>
      <c r="C31" s="77">
        <f>SUMIFS($C$5:$C$19, $B$5:$B$19, "Legal")</f>
        <v/>
      </c>
      <c r="D31" s="77">
        <f>SUMIFS($D$5:$D$19, $B$5:$B$19, "Legal")</f>
        <v/>
      </c>
      <c r="E31" s="78">
        <f>AVERAGEIFS($E$5:$E$19, $B$5:$B$19, "Legal")</f>
        <v/>
      </c>
    </row>
    <row r="32">
      <c r="A32" s="24" t="inlineStr">
        <is>
          <t>Finance</t>
        </is>
      </c>
      <c r="B32" s="76">
        <f>COUNTIF($B$5:$B$19, "Finance")</f>
        <v/>
      </c>
      <c r="C32" s="77">
        <f>SUMIFS($C$5:$C$19, $B$5:$B$19, "Finance")</f>
        <v/>
      </c>
      <c r="D32" s="77">
        <f>SUMIFS($D$5:$D$19, $B$5:$B$19, "Finance")</f>
        <v/>
      </c>
      <c r="E32" s="78">
        <f>AVERAGEIFS($E$5:$E$19, $B$5:$B$19, "Finance")</f>
        <v/>
      </c>
    </row>
  </sheetData>
  <mergeCells count="2">
    <mergeCell ref="A1:H2"/>
    <mergeCell ref="A23:E2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45" customWidth="1" min="2" max="2"/>
    <col width="56" customWidth="1" min="3" max="3"/>
    <col width="25" customWidth="1" min="4" max="4"/>
    <col width="50" customWidth="1" min="5" max="5"/>
    <col width="14" customWidth="1" min="6" max="6"/>
    <col width="14" customWidth="1" min="7" max="7"/>
  </cols>
  <sheetData>
    <row r="1">
      <c r="A1" s="1" t="inlineStr">
        <is>
          <t>MODERN DYNAMIC ARRAYS &amp; ADVANCED FORMULA SHOWCASE</t>
        </is>
      </c>
    </row>
    <row r="2"/>
    <row r="3"/>
    <row r="4">
      <c r="A4" s="79" t="inlineStr">
        <is>
          <t>Technique / Formula</t>
        </is>
      </c>
      <c r="B4" s="79" t="inlineStr">
        <is>
          <t>Syntax Example</t>
        </is>
      </c>
      <c r="C4" s="79" t="inlineStr">
        <is>
          <t>Computed Result</t>
        </is>
      </c>
      <c r="D4" s="79" t="inlineStr">
        <is>
          <t>Compatibility</t>
        </is>
      </c>
      <c r="E4" s="79" t="inlineStr">
        <is>
          <t>Business Application &amp; Advantage</t>
        </is>
      </c>
    </row>
    <row r="5">
      <c r="A5" s="80" t="inlineStr">
        <is>
          <t>LET Variable Optimization</t>
        </is>
      </c>
      <c r="B5" s="81">
        <f>LET(rev, '03_3_Statement_Model'!F9, cogs, '03_3_Statement_Model'!F10, (rev-cogs)/rev)</f>
        <v/>
      </c>
      <c r="C5" s="82">
        <f>'03_3_Statement_Model'!F11/'03_3_Statement_Model'!F9</f>
        <v/>
      </c>
      <c r="D5" s="56" t="inlineStr">
        <is>
          <t>Excel 365 / Sheets</t>
        </is>
      </c>
      <c r="E5" s="83" t="inlineStr">
        <is>
          <t>Eliminates redundant cell recalculation, accelerating large workbook speed by 4x</t>
        </is>
      </c>
    </row>
    <row r="6">
      <c r="A6" s="24" t="inlineStr">
        <is>
          <t>XLOOKUP 2D Exact Match</t>
        </is>
      </c>
      <c r="B6" s="26">
        <f>XLOOKUP("Bull Case", '02_Assumptions_&amp;_Scenarios'!A9:A11, '02_Assumptions_&amp;_Scenarios'!C9:C11)</f>
        <v/>
      </c>
      <c r="C6" s="84">
        <f>'02_Assumptions_&amp;_Scenarios'!C10</f>
        <v/>
      </c>
      <c r="D6" s="22" t="inlineStr">
        <is>
          <t>Excel 2021+ / Sheets</t>
        </is>
      </c>
      <c r="E6" s="27" t="inlineStr">
        <is>
          <t>Replaces VLOOKUP with leftward lookups, default exact matching, and missing-key fallback</t>
        </is>
      </c>
    </row>
    <row r="7">
      <c r="A7" s="80" t="inlineStr">
        <is>
          <t>INDEX / MATCH Classic Pair</t>
        </is>
      </c>
      <c r="B7" s="81">
        <f>INDEX('02_Assumptions_&amp;_Scenarios'!C9:C11, MATCH("Bear Case", '02_Assumptions_&amp;_Scenarios'!A9:A11, 0))</f>
        <v/>
      </c>
      <c r="C7" s="85">
        <f>'02_Assumptions_&amp;_Scenarios'!C11</f>
        <v/>
      </c>
      <c r="D7" s="56" t="inlineStr">
        <is>
          <t>All Excel / All Sheets</t>
        </is>
      </c>
      <c r="E7" s="83" t="inlineStr">
        <is>
          <t>Universal institutional-grade matrix lookup compatible with all versions of spreadsheet engines</t>
        </is>
      </c>
    </row>
    <row r="8">
      <c r="A8" s="24" t="inlineStr">
        <is>
          <t>SUMPRODUCT Weighted Metric</t>
        </is>
      </c>
      <c r="B8" s="26">
        <f>SUMPRODUCT('06_Budget_vs_Actual_BvA'!C5:C10, '06_Budget_vs_Actual_BvA'!F5:F10)/SUM('06_Budget_vs_Actual_BvA'!C5:C10)</f>
        <v/>
      </c>
      <c r="C8" s="25">
        <f>SUMPRODUCT('06_Budget_vs_Actual_BvA'!C5:C10, '06_Budget_vs_Actual_BvA'!F5:F10)/SUM('06_Budget_vs_Actual_BvA'!C5:C10)</f>
        <v/>
      </c>
      <c r="D8" s="22" t="inlineStr">
        <is>
          <t>All Excel / All Sheets</t>
        </is>
      </c>
      <c r="E8" s="27" t="inlineStr">
        <is>
          <t>Calculates dollar-weighted variance percentages across diverse departmental expense pools</t>
        </is>
      </c>
    </row>
    <row r="9">
      <c r="A9" s="80" t="inlineStr">
        <is>
          <t>OFFSET Dynamic Rolling Range</t>
        </is>
      </c>
      <c r="B9" s="81">
        <f>AVERAGE(OFFSET('03_3_Statement_Model'!B9, 0, 0, 1, 3))</f>
        <v/>
      </c>
      <c r="C9" s="85">
        <f>AVERAGE('03_3_Statement_Model'!B9:D9)</f>
        <v/>
      </c>
      <c r="D9" s="56" t="inlineStr">
        <is>
          <t>All Excel / All Sheets</t>
        </is>
      </c>
      <c r="E9" s="83" t="inlineStr">
        <is>
          <t>Dynamically averages moving multi-year fiscal performance without hardcoding column offsets</t>
        </is>
      </c>
    </row>
    <row r="10">
      <c r="A10" s="24" t="inlineStr">
        <is>
          <t>INDIRECT Cross-Sheet Ref</t>
        </is>
      </c>
      <c r="B10" s="26">
        <f>INDIRECT("'01_Executive_Dashboard'!C3")</f>
        <v/>
      </c>
      <c r="C10" s="84">
        <f>'01_Executive_Dashboard'!C3</f>
        <v/>
      </c>
      <c r="D10" s="22" t="inlineStr">
        <is>
          <t>All Excel / All Sheets</t>
        </is>
      </c>
      <c r="E10" s="27" t="inlineStr">
        <is>
          <t>Dynamically resolves target worksheet tabs based on dropdown strings or user selections</t>
        </is>
      </c>
    </row>
    <row r="11">
      <c r="A11" s="80" t="inlineStr">
        <is>
          <t>FILTER High Variance Depts</t>
        </is>
      </c>
      <c r="B11" s="81">
        <f>FILTER('06_Budget_vs_Actual_BvA'!A5:E19, '06_Budget_vs_Actual_BvA'!E5:E19&gt;10000)</f>
        <v/>
      </c>
      <c r="C11" s="66" t="inlineStr">
        <is>
          <t>Dynamic Spill</t>
        </is>
      </c>
      <c r="D11" s="56" t="inlineStr">
        <is>
          <t>Excel 365 / Sheets</t>
        </is>
      </c>
      <c r="E11" s="83" t="inlineStr">
        <is>
          <t>Extracts all expense rows that breached target threshold automatically without macros or VBA</t>
        </is>
      </c>
    </row>
    <row r="12">
      <c r="A12" s="24" t="inlineStr">
        <is>
          <t>UNIQUE Dimension Extractor</t>
        </is>
      </c>
      <c r="B12" s="26">
        <f>UNIQUE('06_Budget_vs_Actual_BvA'!B5:B19)</f>
        <v/>
      </c>
      <c r="C12" s="20" t="inlineStr">
        <is>
          <t>Dynamic Spill</t>
        </is>
      </c>
      <c r="D12" s="22" t="inlineStr">
        <is>
          <t>Excel 365 / Sheets</t>
        </is>
      </c>
      <c r="E12" s="27" t="inlineStr">
        <is>
          <t>Auto-deduplicates organizational departments into clean dynamic validation lists</t>
        </is>
      </c>
    </row>
    <row r="13">
      <c r="A13" s="80" t="inlineStr">
        <is>
          <t>SORT Ranked Performance</t>
        </is>
      </c>
      <c r="B13" s="81">
        <f>SORT('06_Budget_vs_Actual_BvA'!A5:E19, 5, -1)</f>
        <v/>
      </c>
      <c r="C13" s="66" t="inlineStr">
        <is>
          <t>Dynamic Spill</t>
        </is>
      </c>
      <c r="D13" s="56" t="inlineStr">
        <is>
          <t>Excel 365 / Sheets</t>
        </is>
      </c>
      <c r="E13" s="83" t="inlineStr">
        <is>
          <t>Instant server-side array sorting by greatest variance dollar magnitude descending</t>
        </is>
      </c>
    </row>
    <row r="14">
      <c r="A14" s="24" t="inlineStr">
        <is>
          <t>LAMBDA Custom Financial Math</t>
        </is>
      </c>
      <c r="B14" s="26">
        <f>LAMBDA(pv, r, n, pv*(1+r)^n)(1000, 0.08, 5)</f>
        <v/>
      </c>
      <c r="C14" s="84">
        <f>1000*(1+0.08)^5</f>
        <v/>
      </c>
      <c r="D14" s="22" t="inlineStr">
        <is>
          <t>Excel 365 / Sheets</t>
        </is>
      </c>
      <c r="E14" s="27" t="inlineStr">
        <is>
          <t>Builds reusable, testable custom functions directly in formula bar without VBA modules</t>
        </is>
      </c>
    </row>
  </sheetData>
  <mergeCells count="1">
    <mergeCell ref="A1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38" customWidth="1" min="2" max="2"/>
    <col width="38" customWidth="1" min="3" max="3"/>
    <col width="50" customWidth="1" min="4" max="4"/>
    <col width="60" customWidth="1" min="5" max="5"/>
    <col width="14" customWidth="1" min="6" max="6"/>
  </cols>
  <sheetData>
    <row r="1">
      <c r="A1" s="1" t="inlineStr">
        <is>
          <t>EXCEL VS GOOGLE SHEETS COMPATIBILITY MATRIX &amp; SHORTCUT CHEAT SHEET</t>
        </is>
      </c>
    </row>
    <row r="2"/>
    <row r="3"/>
    <row r="4">
      <c r="A4" s="79" t="inlineStr">
        <is>
          <t>Formula / Feature Category</t>
        </is>
      </c>
      <c r="B4" s="79" t="inlineStr">
        <is>
          <t>Microsoft Excel (365 / Desktop)</t>
        </is>
      </c>
      <c r="C4" s="79" t="inlineStr">
        <is>
          <t>Google Sheets Equivalent</t>
        </is>
      </c>
      <c r="D4" s="79" t="inlineStr">
        <is>
          <t>Best Practice &amp; Gotchas</t>
        </is>
      </c>
      <c r="E4" s="79" t="inlineStr">
        <is>
          <t>Status</t>
        </is>
      </c>
    </row>
    <row r="5">
      <c r="A5" s="80" t="inlineStr">
        <is>
          <t>Exact Lookups</t>
        </is>
      </c>
      <c r="B5" s="81">
        <f>XLOOKUP(lookup, key_col, val_col, fallback)</f>
        <v/>
      </c>
      <c r="C5" s="81">
        <f>XLOOKUP(lookup, key_col, val_col, fallback)</f>
        <v/>
      </c>
      <c r="D5" s="83" t="inlineStr">
        <is>
          <t>Both support modern XLOOKUP natively. For legacy Excel 2013-2019, use INDEX(val_col, MATCH(key, key_col, 0)).</t>
        </is>
      </c>
      <c r="E5" s="66" t="inlineStr">
        <is>
          <t>100% Native</t>
        </is>
      </c>
    </row>
    <row r="6">
      <c r="A6" s="24" t="inlineStr">
        <is>
          <t>Dynamic Filtering</t>
        </is>
      </c>
      <c r="B6" s="26">
        <f>FILTER(array, condition, [if_empty])</f>
        <v/>
      </c>
      <c r="C6" s="26">
        <f>FILTER(range, condition1, [condition2])</f>
        <v/>
      </c>
      <c r="D6" s="27" t="inlineStr">
        <is>
          <t>Google Sheets requires multiple conditions passed as separate arguments or boolean multiplication *(col&gt;x).</t>
        </is>
      </c>
      <c r="E6" s="20" t="inlineStr">
        <is>
          <t>100% Native</t>
        </is>
      </c>
    </row>
    <row r="7">
      <c r="A7" s="80" t="inlineStr">
        <is>
          <t>Dynamic Array Spills</t>
        </is>
      </c>
      <c r="B7" s="81" t="inlineStr">
        <is>
          <t>Automatic spill behavior across adjacent cells</t>
        </is>
      </c>
      <c r="C7" s="81" t="inlineStr">
        <is>
          <t>Automatic or wrap in =ARRAYFORMULA() for legacy cells</t>
        </is>
      </c>
      <c r="D7" s="83" t="inlineStr">
        <is>
          <t>In Google Sheets, wrap legacy single-cell operations like IF, CONCAT in ARRAYFORMULA() to spill.</t>
        </is>
      </c>
      <c r="E7" s="66" t="inlineStr">
        <is>
          <t>100% Native</t>
        </is>
      </c>
    </row>
    <row r="8">
      <c r="A8" s="24" t="inlineStr">
        <is>
          <t>Database / SQL Query</t>
        </is>
      </c>
      <c r="B8" s="26" t="inlineStr">
        <is>
          <t>Power Query (M Language) / Get &amp; Transform</t>
        </is>
      </c>
      <c r="C8" s="26">
        <f>QUERY(A1:F100, "SELECT A, SUM(C) WHERE B='R&amp;D' GROUP BY A")</f>
        <v/>
      </c>
      <c r="D8" s="27" t="inlineStr">
        <is>
          <t>Google Sheets has the revolutionary QUERY() SQL function. In Excel, Power Query handles enterprise ETL.</t>
        </is>
      </c>
      <c r="E8" s="20" t="inlineStr">
        <is>
          <t>Cross-Platform</t>
        </is>
      </c>
    </row>
    <row r="9">
      <c r="A9" s="80" t="inlineStr">
        <is>
          <t>Named Lambdas</t>
        </is>
      </c>
      <c r="B9" s="81" t="inlineStr">
        <is>
          <t>Defined via Name Manager -&gt; New -&gt; LAMBDA()</t>
        </is>
      </c>
      <c r="C9" s="81" t="inlineStr">
        <is>
          <t>Defined via Data -&gt; Named functions</t>
        </is>
      </c>
      <c r="D9" s="83" t="inlineStr">
        <is>
          <t>Allows defining reusable functional macros without enabling VBA macros (.xlsm) or Apps Script.</t>
        </is>
      </c>
      <c r="E9" s="66" t="inlineStr">
        <is>
          <t>100% Native</t>
        </is>
      </c>
    </row>
    <row r="10">
      <c r="A10" s="24" t="inlineStr">
        <is>
          <t>External Data Sync</t>
        </is>
      </c>
      <c r="B10" s="26" t="inlineStr">
        <is>
          <t>Power Query Web Connector / OData Feed</t>
        </is>
      </c>
      <c r="C10" s="26">
        <f>IMPORTRANGE("sheet_url", "Tab!A1:Z")</f>
        <v/>
      </c>
      <c r="D10" s="27" t="inlineStr">
        <is>
          <t>Google Sheets excels at cloud-to-cloud inter-workbook live linking with IMPORTRANGE.</t>
        </is>
      </c>
      <c r="E10" s="20" t="inlineStr">
        <is>
          <t>Native Cloud</t>
        </is>
      </c>
    </row>
    <row r="11">
      <c r="A11" s="80" t="inlineStr">
        <is>
          <t>Discounted Cash Flow</t>
        </is>
      </c>
      <c r="B11" s="81">
        <f>NPV(rate, val1, val2...) + CF0</f>
        <v/>
      </c>
      <c r="C11" s="81">
        <f>NPV(rate, val1, val2...) + CF0</f>
        <v/>
      </c>
      <c r="D11" s="83" t="inlineStr">
        <is>
          <t>Remember that NPV assumes period 1 start! Always add initial investment (CF0) outside the NPV formula.</t>
        </is>
      </c>
      <c r="E11" s="66" t="inlineStr">
        <is>
          <t>Standardized</t>
        </is>
      </c>
    </row>
    <row r="12">
      <c r="A12" s="24" t="inlineStr">
        <is>
          <t>Irregular Timing Returns</t>
        </is>
      </c>
      <c r="B12" s="26">
        <f>XIRR(values, dates)</f>
        <v/>
      </c>
      <c r="C12" s="26">
        <f>XIRR(values, dates)</f>
        <v/>
      </c>
      <c r="D12" s="27" t="inlineStr">
        <is>
          <t>Always format date columns as true Excel/Sheets dates rather than strings to avoid #VALUE! errors.</t>
        </is>
      </c>
      <c r="E12" s="20" t="inlineStr">
        <is>
          <t>Standardized</t>
        </is>
      </c>
    </row>
    <row r="13">
      <c r="A13" s="80" t="inlineStr">
        <is>
          <t>Two-Way Table Lookup</t>
        </is>
      </c>
      <c r="B13" s="81">
        <f>INDEX(table, XMATCH(row_key, rows), XMATCH(col_key, cols))</f>
        <v/>
      </c>
      <c r="C13" s="81">
        <f>INDEX(table, MATCH(row_key, rows, 0), MATCH(col_key, cols, 0))</f>
        <v/>
      </c>
      <c r="D13" s="83" t="inlineStr">
        <is>
          <t>Rock-solid replacement for nested IF statements when querying 2D sensitivity matrices.</t>
        </is>
      </c>
      <c r="E13" s="66" t="inlineStr">
        <is>
          <t>Universal</t>
        </is>
      </c>
    </row>
    <row r="14"/>
    <row r="15"/>
    <row r="16">
      <c r="A16" s="11" t="inlineStr">
        <is>
          <t>ESSENTIAL MODELING SHORTCUT CHEAT SHEET (WINDOWS VS MAC VS SHEETS)</t>
        </is>
      </c>
    </row>
    <row r="17">
      <c r="A17" s="23" t="inlineStr">
        <is>
          <t>Action</t>
        </is>
      </c>
      <c r="B17" s="23" t="inlineStr">
        <is>
          <t>Excel (Windows PC)</t>
        </is>
      </c>
      <c r="C17" s="23" t="inlineStr">
        <is>
          <t>Excel (Mac OS)</t>
        </is>
      </c>
      <c r="D17" s="23" t="inlineStr">
        <is>
          <t>Google Sheets</t>
        </is>
      </c>
      <c r="E17" s="23" t="inlineStr">
        <is>
          <t>Productivity Impact</t>
        </is>
      </c>
    </row>
    <row r="18">
      <c r="A18" s="24" t="inlineStr">
        <is>
          <t>Absolute Reference Toggle ($)</t>
        </is>
      </c>
      <c r="B18" s="26" t="inlineStr">
        <is>
          <t>F4</t>
        </is>
      </c>
      <c r="C18" s="26" t="inlineStr">
        <is>
          <t>Command + T</t>
        </is>
      </c>
      <c r="D18" s="26" t="inlineStr">
        <is>
          <t>F4</t>
        </is>
      </c>
      <c r="E18" s="27" t="inlineStr">
        <is>
          <t>Locks row/column coordinates ($A$1) instantly</t>
        </is>
      </c>
    </row>
    <row r="19">
      <c r="A19" s="80" t="inlineStr">
        <is>
          <t>Fill Down / Fill Right</t>
        </is>
      </c>
      <c r="B19" s="81" t="inlineStr">
        <is>
          <t>Ctrl + D / Ctrl + R</t>
        </is>
      </c>
      <c r="C19" s="81" t="inlineStr">
        <is>
          <t>Cmd + D / Cmd + R</t>
        </is>
      </c>
      <c r="D19" s="81" t="inlineStr">
        <is>
          <t>Ctrl + D / Ctrl + R</t>
        </is>
      </c>
      <c r="E19" s="83" t="inlineStr">
        <is>
          <t>Massively speeds up formula horizontal/vertical cascading</t>
        </is>
      </c>
    </row>
    <row r="20">
      <c r="A20" s="24" t="inlineStr">
        <is>
          <t>Paste Special Formats / Formulas</t>
        </is>
      </c>
      <c r="B20" s="26" t="inlineStr">
        <is>
          <t>Alt + E + S + T / F</t>
        </is>
      </c>
      <c r="C20" s="26" t="inlineStr">
        <is>
          <t>Cmd + Opt + V</t>
        </is>
      </c>
      <c r="D20" s="26" t="inlineStr">
        <is>
          <t>Ctrl + Alt + V</t>
        </is>
      </c>
      <c r="E20" s="27" t="inlineStr">
        <is>
          <t>Preserves exact border aesthetics and number formats</t>
        </is>
      </c>
    </row>
    <row r="21">
      <c r="A21" s="80" t="inlineStr">
        <is>
          <t>Jump to Edge of Region</t>
        </is>
      </c>
      <c r="B21" s="81" t="inlineStr">
        <is>
          <t>Ctrl + Arrow Keys</t>
        </is>
      </c>
      <c r="C21" s="81" t="inlineStr">
        <is>
          <t>Cmd + Arrow Keys</t>
        </is>
      </c>
      <c r="D21" s="81" t="inlineStr">
        <is>
          <t>Ctrl + Arrow Keys</t>
        </is>
      </c>
      <c r="E21" s="83" t="inlineStr">
        <is>
          <t>Traverses 100k+ row financial ledgers in 1 click</t>
        </is>
      </c>
    </row>
    <row r="22">
      <c r="A22" s="24" t="inlineStr">
        <is>
          <t>Select Entire Current Region</t>
        </is>
      </c>
      <c r="B22" s="26" t="inlineStr">
        <is>
          <t>Ctrl + Shift + 8 (Ctrl + *)</t>
        </is>
      </c>
      <c r="C22" s="26" t="inlineStr">
        <is>
          <t>Cmd + A</t>
        </is>
      </c>
      <c r="D22" s="26" t="inlineStr">
        <is>
          <t>Ctrl + A</t>
        </is>
      </c>
      <c r="E22" s="27" t="inlineStr">
        <is>
          <t>Selects bounded data matrix cleanly for pivot tables</t>
        </is>
      </c>
    </row>
    <row r="23">
      <c r="A23" s="80" t="inlineStr">
        <is>
          <t>Format as Currency ($)</t>
        </is>
      </c>
      <c r="B23" s="81" t="inlineStr">
        <is>
          <t>Ctrl + Shift + 4 (Ctrl + $)</t>
        </is>
      </c>
      <c r="C23" s="81" t="inlineStr">
        <is>
          <t>Ctrl + Shift + $</t>
        </is>
      </c>
      <c r="D23" s="81" t="inlineStr">
        <is>
          <t>Ctrl + Shift + 4</t>
        </is>
      </c>
      <c r="E23" s="83" t="inlineStr">
        <is>
          <t>Applies standardized corporate currency format</t>
        </is>
      </c>
    </row>
    <row r="24">
      <c r="A24" s="24" t="inlineStr">
        <is>
          <t>Format as Percentage (%)</t>
        </is>
      </c>
      <c r="B24" s="26" t="inlineStr">
        <is>
          <t>Ctrl + Shift + 5 (Ctrl + %)</t>
        </is>
      </c>
      <c r="C24" s="26" t="inlineStr">
        <is>
          <t>Ctrl + Shift + %</t>
        </is>
      </c>
      <c r="D24" s="26" t="inlineStr">
        <is>
          <t>Ctrl + Shift + 5</t>
        </is>
      </c>
      <c r="E24" s="27" t="inlineStr">
        <is>
          <t>Converts decimal drivers to percentage displays</t>
        </is>
      </c>
    </row>
  </sheetData>
  <mergeCells count="2">
    <mergeCell ref="A16:E16"/>
    <mergeCell ref="A1:F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2026-09-21T22:21:10Z</dcterms:created>
  <dcterms:modified xmlns:dcterms="http://purl.org/dc/terms/" xmlns:xsi="http://www.w3.org/2001/XMLSchema-instance" xsi:type="dcterms:W3CDTF">2026-09-21T22:21:10Z</dcterms:modified>
</cp:coreProperties>
</file>