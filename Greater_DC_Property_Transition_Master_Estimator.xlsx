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Field_Scope_Estimator" sheetId="1" state="visible" r:id="rId1"/>
    <sheet xmlns:r="http://schemas.openxmlformats.org/officeDocument/2006/relationships" name="02_Master_SKU_Database" sheetId="2" state="visible" r:id="rId2"/>
    <sheet xmlns:r="http://schemas.openxmlformats.org/officeDocument/2006/relationships" name="03_Parametric_Rules_Multipli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x&quot;"/>
    <numFmt numFmtId="165" formatCode="$#,##0.00"/>
    <numFmt numFmtId="166" formatCode="$#,##0"/>
  </numFmts>
  <fonts count="19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E2E8F0"/>
      <sz val="10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F172A"/>
      <sz val="10"/>
    </font>
    <font>
      <name val="Segoe UI"/>
      <color rgb="001E293B"/>
      <sz val="10"/>
    </font>
    <font>
      <name val="Segoe UI"/>
      <b val="1"/>
      <color rgb="00166534"/>
      <sz val="10"/>
    </font>
    <font>
      <name val="Segoe UI"/>
      <b val="1"/>
      <color rgb="0092400E"/>
      <sz val="10"/>
    </font>
    <font>
      <name val="Segoe UI"/>
      <b val="1"/>
      <color rgb="00991B1B"/>
      <sz val="10"/>
    </font>
    <font>
      <name val="Segoe UI"/>
      <i val="1"/>
      <color rgb="0064748B"/>
      <sz val="9"/>
    </font>
    <font>
      <name val="Segoe UI"/>
      <b val="1"/>
      <color rgb="00002060"/>
      <sz val="11"/>
    </font>
    <font>
      <name val="Segoe UI"/>
      <b val="1"/>
      <color rgb="00475569"/>
      <sz val="9"/>
    </font>
    <font>
      <name val="Segoe UI"/>
      <b val="1"/>
      <color rgb="000A2540"/>
      <sz val="17"/>
    </font>
    <font>
      <name val="Segoe UI"/>
      <color rgb="0064748B"/>
      <sz val="8"/>
    </font>
    <font>
      <name val="Segoe UI"/>
      <b val="1"/>
      <color rgb="000F172A"/>
      <sz val="11"/>
    </font>
    <font>
      <name val="Segoe UI"/>
      <b val="1"/>
      <color rgb="00166534"/>
      <sz val="11"/>
    </font>
    <font>
      <name val="Segoe UI"/>
      <b val="1"/>
      <color rgb="000369A1"/>
      <sz val="10"/>
    </font>
    <font>
      <name val="Segoe UI"/>
      <b val="1"/>
      <color rgb="000369A1"/>
      <sz val="11"/>
    </font>
  </fonts>
  <fills count="11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F1F5F9"/>
        <bgColor rgb="00F1F5F9"/>
      </patternFill>
    </fill>
    <fill>
      <patternFill patternType="solid">
        <fgColor rgb="00ECFDF5"/>
        <bgColor rgb="00ECFDF5"/>
      </patternFill>
    </fill>
    <fill>
      <patternFill patternType="solid">
        <fgColor rgb="00E2E8F0"/>
        <bgColor rgb="00E2E8F0"/>
      </patternFill>
    </fill>
  </fills>
  <borders count="7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1E293B"/>
      </left>
      <right style="medium">
        <color rgb="001E293B"/>
      </right>
      <top style="medium">
        <color rgb="001E293B"/>
      </top>
      <bottom style="medium">
        <color rgb="001E293B"/>
      </bottom>
    </border>
    <border>
      <left style="thin">
        <color rgb="00CBD5E1"/>
      </left>
      <right style="thin">
        <color rgb="00CBD5E1"/>
      </right>
      <top style="thin">
        <color rgb="00CBD5E1"/>
      </top>
    </border>
    <border>
      <left style="thin">
        <color rgb="00CBD5E1"/>
      </left>
      <right style="thin">
        <color rgb="00CBD5E1"/>
      </right>
    </border>
    <border>
      <left style="thin">
        <color rgb="00CBD5E1"/>
      </left>
      <right style="thin">
        <color rgb="00CBD5E1"/>
      </right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pivotButton="0" quotePrefix="0" xfId="0"/>
    <xf numFmtId="0" fontId="5" fillId="8" borderId="1" applyAlignment="1" pivotButton="0" quotePrefix="0" xfId="0">
      <alignment horizontal="left" vertical="center"/>
    </xf>
    <xf numFmtId="0" fontId="11" fillId="9" borderId="2" applyAlignment="1" applyProtection="1" pivotButton="0" quotePrefix="0" xfId="0">
      <alignment horizontal="left" vertical="center"/>
      <protection locked="0" hidden="0"/>
    </xf>
    <xf numFmtId="0" fontId="0" fillId="0" borderId="0" applyProtection="1" pivotButton="0" quotePrefix="0" xfId="0">
      <protection locked="0" hidden="0"/>
    </xf>
    <xf numFmtId="0" fontId="5" fillId="8" borderId="1" pivotButton="0" quotePrefix="0" xfId="0"/>
    <xf numFmtId="0" fontId="5" fillId="0" borderId="1" applyAlignment="1" pivotButton="0" quotePrefix="0" xfId="0">
      <alignment horizontal="left" vertical="center"/>
    </xf>
    <xf numFmtId="0" fontId="11" fillId="9" borderId="2" applyAlignment="1" applyProtection="1" pivotButton="0" quotePrefix="0" xfId="0">
      <alignment horizontal="center" vertical="center"/>
      <protection locked="0" hidden="0"/>
    </xf>
    <xf numFmtId="164" fontId="5" fillId="0" borderId="1" applyAlignment="1" pivotButton="0" quotePrefix="0" xfId="0">
      <alignment horizontal="center" vertical="center"/>
    </xf>
    <xf numFmtId="3" fontId="11" fillId="9" borderId="2" applyAlignment="1" applyProtection="1" pivotButton="0" quotePrefix="0" xfId="0">
      <alignment horizontal="center" vertical="center"/>
      <protection locked="0" hidden="0"/>
    </xf>
    <xf numFmtId="0" fontId="5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12" fillId="8" borderId="3" applyAlignment="1" pivotButton="0" quotePrefix="0" xfId="0">
      <alignment horizontal="center" vertical="center"/>
    </xf>
    <xf numFmtId="166" fontId="13" fillId="8" borderId="4" applyAlignment="1" pivotButton="0" quotePrefix="0" xfId="0">
      <alignment horizontal="center" vertical="center"/>
    </xf>
    <xf numFmtId="165" fontId="13" fillId="8" borderId="4" applyAlignment="1" pivotButton="0" quotePrefix="0" xfId="0">
      <alignment horizontal="center" vertical="center"/>
    </xf>
    <xf numFmtId="164" fontId="13" fillId="8" borderId="4" applyAlignment="1" pivotButton="0" quotePrefix="0" xfId="0">
      <alignment horizontal="center" vertical="center"/>
    </xf>
    <xf numFmtId="49" fontId="13" fillId="8" borderId="4" applyAlignment="1" pivotButton="0" quotePrefix="0" xfId="0">
      <alignment horizontal="center" vertical="center"/>
    </xf>
    <xf numFmtId="0" fontId="14" fillId="8" borderId="5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3" fontId="11" fillId="9" borderId="2" applyAlignment="1" applyProtection="1" pivotButton="0" quotePrefix="0" xfId="0">
      <alignment horizontal="right" vertical="center"/>
      <protection locked="0" hidden="0"/>
    </xf>
    <xf numFmtId="165" fontId="6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15" fillId="10" borderId="6" applyAlignment="1" pivotButton="0" quotePrefix="0" xfId="0">
      <alignment horizontal="right" vertical="center"/>
    </xf>
    <xf numFmtId="166" fontId="15" fillId="10" borderId="6" applyAlignment="1" pivotButton="0" quotePrefix="0" xfId="0">
      <alignment horizontal="right" vertical="center"/>
    </xf>
    <xf numFmtId="164" fontId="15" fillId="10" borderId="6" applyAlignment="1" pivotButton="0" quotePrefix="0" xfId="0">
      <alignment horizontal="right" vertical="center"/>
    </xf>
    <xf numFmtId="166" fontId="16" fillId="5" borderId="6" applyAlignment="1" pivotButton="0" quotePrefix="0" xfId="0">
      <alignment horizontal="right" vertical="center"/>
    </xf>
    <xf numFmtId="0" fontId="17" fillId="8" borderId="1" applyAlignment="1" pivotButton="0" quotePrefix="0" xfId="0">
      <alignment horizontal="right" vertical="center"/>
    </xf>
    <xf numFmtId="166" fontId="18" fillId="8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right" vertical="center"/>
    </xf>
    <xf numFmtId="164" fontId="15" fillId="8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32" customWidth="1" min="4" max="4"/>
    <col width="24" customWidth="1" min="5" max="5"/>
    <col width="34" customWidth="1" min="6" max="6"/>
    <col width="45" customWidth="1" min="7" max="7"/>
    <col width="45" customWidth="1" min="8" max="8"/>
    <col width="45" customWidth="1" min="9" max="9"/>
    <col width="43" customWidth="1" min="10" max="10"/>
    <col width="26" customWidth="1" min="11" max="11"/>
  </cols>
  <sheetData>
    <row r="1" ht="30" customHeight="1">
      <c r="A1" s="1" t="inlineStr">
        <is>
          <t xml:space="preserve">  GREATER D.C. PROPERTY TRANSITION &amp; INSTANT SCOPE ESTIMATOR</t>
        </is>
      </c>
    </row>
    <row r="2" ht="20" customHeight="1">
      <c r="A2" s="2" t="inlineStr">
        <is>
          <t xml:space="preserve">  Proprietary Decision Engine: On-Site Parametric Estimator, 21-Day Transition Budgets &amp; Value-Add ROI</t>
        </is>
      </c>
    </row>
    <row r="3"/>
    <row r="4"/>
    <row r="5" ht="24" customHeight="1">
      <c r="B5" s="3" t="inlineStr">
        <is>
          <t xml:space="preserve">  STEP 1: ON-SITE PROPERTY INPUTS &amp; MARKET SELECTION</t>
        </is>
      </c>
    </row>
    <row r="6" ht="24" customHeight="1">
      <c r="B6" s="4" t="inlineStr">
        <is>
          <t>Target Property Address:</t>
        </is>
      </c>
      <c r="C6" s="5" t="inlineStr">
        <is>
          <t>1420 14th Street NW, Washington, D.C.</t>
        </is>
      </c>
      <c r="D6" s="6" t="n"/>
      <c r="F6" s="7" t="inlineStr">
        <is>
          <t>Identified Submarket:</t>
        </is>
      </c>
      <c r="I6" s="8">
        <f>XLOOKUP(C7,'03_Parametric_Rules_Multipliers'!$B$7:$B$22,'03_Parametric_Rules_Multipliers'!$C$7:$C$22&amp;" ("&amp;'03_Parametric_Rules_Multipliers'!$D$7:$D$22&amp;")","Unknown ZIP")</f>
        <v/>
      </c>
    </row>
    <row r="7" ht="24" customHeight="1">
      <c r="B7" s="4" t="inlineStr">
        <is>
          <t>Target ZIP Code (D.C. Metro):</t>
        </is>
      </c>
      <c r="C7" s="9" t="inlineStr">
        <is>
          <t>20001</t>
        </is>
      </c>
      <c r="F7" s="7" t="inlineStr">
        <is>
          <t>Regional Labor Multiplier:</t>
        </is>
      </c>
      <c r="I7" s="10">
        <f>XLOOKUP(C7,'03_Parametric_Rules_Multipliers'!$B$7:$B$22,'03_Parametric_Rules_Multipliers'!$E$7:$E$22,1.0)</f>
        <v/>
      </c>
    </row>
    <row r="8" ht="24" customHeight="1">
      <c r="B8" s="4" t="inlineStr">
        <is>
          <t>Property Square Footage (SF):</t>
        </is>
      </c>
      <c r="C8" s="11" t="n">
        <v>1850</v>
      </c>
      <c r="F8" s="7" t="inlineStr">
        <is>
          <t>Median Days on Market (MDOM):</t>
        </is>
      </c>
      <c r="I8" s="12">
        <f>XLOOKUP(C7,'03_Parametric_Rules_Multipliers'!$B$7:$B$22,'03_Parametric_Rules_Multipliers'!$F$7:$F$22,21)&amp;" Days"</f>
        <v/>
      </c>
    </row>
    <row r="9" ht="24" customHeight="1">
      <c r="B9" s="4" t="inlineStr">
        <is>
          <t>Selected Asset Tier:</t>
        </is>
      </c>
      <c r="C9" s="9" t="inlineStr">
        <is>
          <t>Better</t>
        </is>
      </c>
      <c r="F9" s="7" t="inlineStr">
        <is>
          <t>Operational Speed Zone:</t>
        </is>
      </c>
      <c r="I9" s="13">
        <f>XLOOKUP(C7,'03_Parametric_Rules_Multipliers'!$B$7:$B$22,'03_Parametric_Rules_Multipliers'!$G$7:$G$22,"Standard")</f>
        <v/>
      </c>
    </row>
    <row r="10"/>
    <row r="11" ht="18" customHeight="1">
      <c r="B11" s="14" t="inlineStr">
        <is>
          <t>TOTAL ESTIMATED TRANSITION SCOPE</t>
        </is>
      </c>
      <c r="D11" s="14" t="inlineStr">
        <is>
          <t>AVERAGE COST PER SQUARE FOOT</t>
        </is>
      </c>
      <c r="F11" s="14" t="inlineStr">
        <is>
          <t>ESTIMATED VALUE-ADD EQUITY LIFT</t>
        </is>
      </c>
      <c r="H11" s="14" t="inlineStr">
        <is>
          <t>PROJECTED VALUE-ADD / ROI MULTIPLE</t>
        </is>
      </c>
      <c r="J11" s="14" t="inlineStr">
        <is>
          <t>ESTIMATED TARGET COMPLETION</t>
        </is>
      </c>
    </row>
    <row r="12" ht="28" customHeight="1">
      <c r="B12" s="15">
        <f>I22</f>
        <v/>
      </c>
      <c r="D12" s="16">
        <f>I22/C8</f>
        <v/>
      </c>
      <c r="F12" s="15">
        <f>K23</f>
        <v/>
      </c>
      <c r="H12" s="17">
        <f>K24</f>
        <v/>
      </c>
      <c r="J12" s="18">
        <f>"21 Business Days"</f>
        <v/>
      </c>
    </row>
    <row r="13" ht="16" customHeight="1">
      <c r="B13" s="19" t="inlineStr">
        <is>
          <t>Includes Labor, Materials &amp; Multipliers</t>
        </is>
      </c>
      <c r="D13" s="19" t="inlineStr">
        <is>
          <t>Comprehensive $/SF investment</t>
        </is>
      </c>
      <c r="F13" s="19" t="inlineStr">
        <is>
          <t>Projected Net Equity Spread</t>
        </is>
      </c>
      <c r="H13" s="19" t="inlineStr">
        <is>
          <t>Benchmark: 1.8x - 2.0x target</t>
        </is>
      </c>
      <c r="J13" s="19" t="inlineStr">
        <is>
          <t>Guaranteed 21-Day Cosmetic Turn</t>
        </is>
      </c>
    </row>
    <row r="14"/>
    <row r="15" ht="24" customHeight="1">
      <c r="B15" s="3" t="inlineStr">
        <is>
          <t xml:space="preserve">  STEP 2: 21-DAY COSMETIC TRANSITION SCOPE BUILDER (PARAMETRIC SELECTOR)</t>
        </is>
      </c>
    </row>
    <row r="16" ht="24" customHeight="1">
      <c r="B16" s="20" t="inlineStr">
        <is>
          <t>Include in Scope?</t>
        </is>
      </c>
      <c r="C16" s="20" t="inlineStr">
        <is>
          <t>Scope Line Item / Package</t>
        </is>
      </c>
      <c r="D16" s="20" t="inlineStr">
        <is>
          <t>Execution Category</t>
        </is>
      </c>
      <c r="E16" s="20" t="inlineStr">
        <is>
          <t>Base Scope Qty / Unit</t>
        </is>
      </c>
      <c r="F16" s="20" t="inlineStr">
        <is>
          <t>Selected SKU Code</t>
        </is>
      </c>
      <c r="G16" s="20" t="inlineStr">
        <is>
          <t>Material Unit Rate</t>
        </is>
      </c>
      <c r="H16" s="20" t="inlineStr">
        <is>
          <t>Labor Unit Rate</t>
        </is>
      </c>
      <c r="I16" s="20" t="inlineStr">
        <is>
          <t>Regional Scope Cost</t>
        </is>
      </c>
      <c r="J16" s="20" t="inlineStr">
        <is>
          <t>Target ROI Multiple</t>
        </is>
      </c>
      <c r="K16" s="20" t="inlineStr">
        <is>
          <t>Projected Value-Add ($)</t>
        </is>
      </c>
    </row>
    <row r="17" ht="22" customHeight="1">
      <c r="B17" s="9" t="inlineStr">
        <is>
          <t>YES</t>
        </is>
      </c>
      <c r="C17" s="8" t="inlineStr">
        <is>
          <t>Whole-Home Decluttering &amp; Staging Prep</t>
        </is>
      </c>
      <c r="D17" s="21" t="inlineStr">
        <is>
          <t>Decluttering</t>
        </is>
      </c>
      <c r="E17" s="22">
        <f>C8</f>
        <v/>
      </c>
      <c r="F17" s="9" t="inlineStr">
        <is>
          <t>SKU-DEC-102</t>
        </is>
      </c>
      <c r="G17" s="23">
        <f>IF($C$9="Good", XLOOKUP(F17,'02_Master_SKU_Database'!$B$6:$B$20,'02_Master_SKU_Database'!$G$6:$G$20,0), IF($C$9="Best", XLOOKUP(F17,'02_Master_SKU_Database'!$B$6:$B$20,'02_Master_SKU_Database'!$I$6:$I$20,0), XLOOKUP(F17,'02_Master_SKU_Database'!$B$6:$B$20,'02_Master_SKU_Database'!$H$6:$H$20,0)))</f>
        <v/>
      </c>
      <c r="H17" s="23">
        <f>XLOOKUP(F17,'02_Master_SKU_Database'!$B$6:$B$20,'02_Master_SKU_Database'!$J$6:$J$20,0)*$I$7</f>
        <v/>
      </c>
      <c r="I17" s="24">
        <f>IF(B17="YES", E17*(G17+H17), 0)</f>
        <v/>
      </c>
      <c r="J17" s="25">
        <f>'03_Parametric_Rules_Multipliers'!$E$35</f>
        <v/>
      </c>
      <c r="K17" s="24">
        <f>I17*J17</f>
        <v/>
      </c>
    </row>
    <row r="18" ht="22" customHeight="1">
      <c r="B18" s="9" t="inlineStr">
        <is>
          <t>YES</t>
        </is>
      </c>
      <c r="C18" s="8" t="inlineStr">
        <is>
          <t>Interior Paint, Drywall &amp; Trim Modernization</t>
        </is>
      </c>
      <c r="D18" s="21" t="inlineStr">
        <is>
          <t>Paint</t>
        </is>
      </c>
      <c r="E18" s="22">
        <f>C8</f>
        <v/>
      </c>
      <c r="F18" s="9" t="inlineStr">
        <is>
          <t>SKU-PNT-201</t>
        </is>
      </c>
      <c r="G18" s="23">
        <f>IF($C$9="Good", XLOOKUP(F18,'02_Master_SKU_Database'!$B$6:$B$20,'02_Master_SKU_Database'!$G$6:$G$20,0), IF($C$9="Best", XLOOKUP(F18,'02_Master_SKU_Database'!$B$6:$B$20,'02_Master_SKU_Database'!$I$6:$I$20,0), XLOOKUP(F18,'02_Master_SKU_Database'!$B$6:$B$20,'02_Master_SKU_Database'!$H$6:$H$20,0)))</f>
        <v/>
      </c>
      <c r="H18" s="23">
        <f>XLOOKUP(F18,'02_Master_SKU_Database'!$B$6:$B$20,'02_Master_SKU_Database'!$J$6:$J$20,0)*$I$7</f>
        <v/>
      </c>
      <c r="I18" s="24">
        <f>IF(B18="YES", E18*(G18+H18), 0)</f>
        <v/>
      </c>
      <c r="J18" s="25">
        <f>'03_Parametric_Rules_Multipliers'!$E$36</f>
        <v/>
      </c>
      <c r="K18" s="24">
        <f>I18*J18</f>
        <v/>
      </c>
    </row>
    <row r="19" ht="22" customHeight="1">
      <c r="B19" s="9" t="inlineStr">
        <is>
          <t>YES</t>
        </is>
      </c>
      <c r="C19" s="8" t="inlineStr">
        <is>
          <t>Continuous Waterproof LVP / Hardwood Flooring</t>
        </is>
      </c>
      <c r="D19" s="21" t="inlineStr">
        <is>
          <t>Flooring</t>
        </is>
      </c>
      <c r="E19" s="22">
        <f>C8*0.75</f>
        <v/>
      </c>
      <c r="F19" s="9" t="inlineStr">
        <is>
          <t>SKU-FLR-301</t>
        </is>
      </c>
      <c r="G19" s="23">
        <f>IF($C$9="Good", XLOOKUP(F19,'02_Master_SKU_Database'!$B$6:$B$20,'02_Master_SKU_Database'!$G$6:$G$20,0), IF($C$9="Best", XLOOKUP(F19,'02_Master_SKU_Database'!$B$6:$B$20,'02_Master_SKU_Database'!$I$6:$I$20,0), XLOOKUP(F19,'02_Master_SKU_Database'!$B$6:$B$20,'02_Master_SKU_Database'!$H$6:$H$20,0)))</f>
        <v/>
      </c>
      <c r="H19" s="23">
        <f>XLOOKUP(F19,'02_Master_SKU_Database'!$B$6:$B$20,'02_Master_SKU_Database'!$J$6:$J$20,0)*$I$7</f>
        <v/>
      </c>
      <c r="I19" s="24">
        <f>IF(B19="YES", E19*(G19+H19), 0)</f>
        <v/>
      </c>
      <c r="J19" s="25">
        <f>'03_Parametric_Rules_Multipliers'!$E$37</f>
        <v/>
      </c>
      <c r="K19" s="24">
        <f>I19*J19</f>
        <v/>
      </c>
    </row>
    <row r="20" ht="22" customHeight="1">
      <c r="B20" s="9" t="inlineStr">
        <is>
          <t>YES</t>
        </is>
      </c>
      <c r="C20" s="8" t="inlineStr">
        <is>
          <t>Cabinet Pulls &amp; Contemporary Plumbing Fixtures</t>
        </is>
      </c>
      <c r="D20" s="21" t="inlineStr">
        <is>
          <t>Hardware</t>
        </is>
      </c>
      <c r="E20" s="22" t="n">
        <v>1</v>
      </c>
      <c r="F20" s="9" t="inlineStr">
        <is>
          <t>SKU-HRD-401</t>
        </is>
      </c>
      <c r="G20" s="23">
        <f>IF($C$9="Good", XLOOKUP(F20,'02_Master_SKU_Database'!$B$6:$B$20,'02_Master_SKU_Database'!$G$6:$G$20,0), IF($C$9="Best", XLOOKUP(F20,'02_Master_SKU_Database'!$B$6:$B$20,'02_Master_SKU_Database'!$I$6:$I$20,0), XLOOKUP(F20,'02_Master_SKU_Database'!$B$6:$B$20,'02_Master_SKU_Database'!$H$6:$H$20,0)))</f>
        <v/>
      </c>
      <c r="H20" s="23">
        <f>XLOOKUP(F20,'02_Master_SKU_Database'!$B$6:$B$20,'02_Master_SKU_Database'!$J$6:$J$20,0)*$I$7</f>
        <v/>
      </c>
      <c r="I20" s="24">
        <f>IF(B20="YES", E20*(G20+H20), 0)</f>
        <v/>
      </c>
      <c r="J20" s="25">
        <f>'03_Parametric_Rules_Multipliers'!$E$38</f>
        <v/>
      </c>
      <c r="K20" s="24">
        <f>I20*J20</f>
        <v/>
      </c>
    </row>
    <row r="21" ht="22" customHeight="1">
      <c r="B21" s="9" t="inlineStr">
        <is>
          <t>YES</t>
        </is>
      </c>
      <c r="C21" s="8" t="inlineStr">
        <is>
          <t>Designer 3000K LED Recessed &amp; Accent Lighting</t>
        </is>
      </c>
      <c r="D21" s="21" t="inlineStr">
        <is>
          <t>Lighting</t>
        </is>
      </c>
      <c r="E21" s="22" t="n">
        <v>1</v>
      </c>
      <c r="F21" s="9" t="inlineStr">
        <is>
          <t>SKU-LGT-501</t>
        </is>
      </c>
      <c r="G21" s="23">
        <f>IF($C$9="Good", XLOOKUP(F21,'02_Master_SKU_Database'!$B$6:$B$20,'02_Master_SKU_Database'!$G$6:$G$20,0), IF($C$9="Best", XLOOKUP(F21,'02_Master_SKU_Database'!$B$6:$B$20,'02_Master_SKU_Database'!$I$6:$I$20,0), XLOOKUP(F21,'02_Master_SKU_Database'!$B$6:$B$20,'02_Master_SKU_Database'!$H$6:$H$20,0)))</f>
        <v/>
      </c>
      <c r="H21" s="23">
        <f>XLOOKUP(F21,'02_Master_SKU_Database'!$B$6:$B$20,'02_Master_SKU_Database'!$J$6:$J$20,0)*$I$7</f>
        <v/>
      </c>
      <c r="I21" s="24">
        <f>IF(B21="YES", E21*(G21+H21), 0)</f>
        <v/>
      </c>
      <c r="J21" s="25">
        <f>'03_Parametric_Rules_Multipliers'!$E$39</f>
        <v/>
      </c>
      <c r="K21" s="24">
        <f>I21*J21</f>
        <v/>
      </c>
    </row>
    <row r="22" ht="24" customHeight="1">
      <c r="B22" s="26" t="inlineStr">
        <is>
          <t>TOTAL 21-DAY ESTIMATED TRANSITION SCOPE INVESTMENT</t>
        </is>
      </c>
      <c r="I22" s="27">
        <f>SUM(I17:I21)</f>
        <v/>
      </c>
      <c r="J22" s="28">
        <f>K23/I22</f>
        <v/>
      </c>
      <c r="K22" s="29">
        <f>SUM(K17:K21)</f>
        <v/>
      </c>
    </row>
    <row r="23" ht="22" customHeight="1">
      <c r="B23" s="30" t="inlineStr">
        <is>
          <t>NET PROJECTED EQUITY CREATION / PROFIT SPREAD (VALUE-ADD MINUS SCOPE COST)</t>
        </is>
      </c>
      <c r="K23" s="31">
        <f>K22-I22</f>
        <v/>
      </c>
    </row>
    <row r="24" ht="22" customHeight="1">
      <c r="B24" s="32" t="inlineStr">
        <is>
          <t>BLENDED PORTFOLIO VALUE-ADD MULTIPLE (ARV LIFT ÷ SCOPE INVESTMENT)</t>
        </is>
      </c>
      <c r="K24" s="33">
        <f>K22/I22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59"/>
  <mergeCells count="31">
    <mergeCell ref="F11:G11"/>
    <mergeCell ref="C6:D6"/>
    <mergeCell ref="F8:H8"/>
    <mergeCell ref="B15:K15"/>
    <mergeCell ref="B23:J23"/>
    <mergeCell ref="J13:K13"/>
    <mergeCell ref="A1:K1"/>
    <mergeCell ref="B5:K5"/>
    <mergeCell ref="B12:C12"/>
    <mergeCell ref="F12:G12"/>
    <mergeCell ref="B11:C11"/>
    <mergeCell ref="D11:E11"/>
    <mergeCell ref="D13:E13"/>
    <mergeCell ref="I8:K8"/>
    <mergeCell ref="F9:H9"/>
    <mergeCell ref="B24:J24"/>
    <mergeCell ref="B13:C13"/>
    <mergeCell ref="B22:H22"/>
    <mergeCell ref="H11:I11"/>
    <mergeCell ref="J11:K11"/>
    <mergeCell ref="I9:K9"/>
    <mergeCell ref="A2:K2"/>
    <mergeCell ref="F13:G13"/>
    <mergeCell ref="H13:I13"/>
    <mergeCell ref="D12:E12"/>
    <mergeCell ref="I6:K6"/>
    <mergeCell ref="H12:I12"/>
    <mergeCell ref="F6:H6"/>
    <mergeCell ref="J12:K12"/>
    <mergeCell ref="F7:H7"/>
    <mergeCell ref="I7:K7"/>
  </mergeCells>
  <dataValidations count="4">
    <dataValidation sqref="C7" showDropDown="0" showInputMessage="0" showErrorMessage="0" allowBlank="0" errorTitle="Invalid D.C. ZIP Code" error="Please select a valid D.C. Metropolitan ZIP code from the drop-down list." type="list">
      <formula1>'03_Parametric_Rules_Multipliers'!$B$7:$B$22</formula1>
    </dataValidation>
    <dataValidation sqref="C9" showDropDown="0" showInputMessage="0" showErrorMessage="0" allowBlank="0" errorTitle="Invalid Asset Tier" error="Please select Good, Better, or Best." type="list">
      <formula1>"Good,Better,Best"</formula1>
    </dataValidation>
    <dataValidation sqref="B17 B18 B19 B20 B21" showDropDown="0" showInputMessage="0" showErrorMessage="0" allowBlank="0" errorTitle="Invalid Scope Toggle" error="Please choose YES or NO." type="list">
      <formula1>"YES,NO"</formula1>
    </dataValidation>
    <dataValidation sqref="F17 F18 F19 F20 F21" showDropDown="0" showInputMessage="0" showErrorMessage="0" allowBlank="0" errorTitle="Invalid Material SKU" error="Please select an approved catalog SKU from the list." type="list">
      <formula1>'02_Master_SKU_Database'!$B$6:$B$20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7" customWidth="1" min="3" max="3"/>
    <col width="45" customWidth="1" min="4" max="4"/>
    <col width="28" customWidth="1" min="5" max="5"/>
    <col width="16" customWidth="1" min="6" max="6"/>
    <col width="16" customWidth="1" min="7" max="7"/>
    <col width="18" customWidth="1" min="8" max="8"/>
    <col width="16" customWidth="1" min="9" max="9"/>
    <col width="30" customWidth="1" min="10" max="10"/>
    <col width="17" customWidth="1" min="11" max="11"/>
  </cols>
  <sheetData>
    <row r="1" ht="30" customHeight="1">
      <c r="A1" s="1" t="inlineStr">
        <is>
          <t xml:space="preserve">  MASTER SKU &amp; MATERIAL PRICE DATABASE (LIVE SOURCING FEED)</t>
        </is>
      </c>
    </row>
    <row r="2" ht="20" customHeight="1">
      <c r="A2" s="2" t="inlineStr">
        <is>
          <t xml:space="preserve">  Structured Procurement Catalog: Home Depot, Floor &amp; Decor, Amazon Commercial Rates ($/SF, $/EA)</t>
        </is>
      </c>
    </row>
    <row r="3"/>
    <row r="4"/>
    <row r="5" ht="24" customHeight="1">
      <c r="B5" s="34" t="inlineStr">
        <is>
          <t>SKU ID</t>
        </is>
      </c>
      <c r="C5" s="34" t="inlineStr">
        <is>
          <t>Scope Category</t>
        </is>
      </c>
      <c r="D5" s="34" t="inlineStr">
        <is>
          <t>Material / Item Description</t>
        </is>
      </c>
      <c r="E5" s="34" t="inlineStr">
        <is>
          <t>Preferred Sourcing Vendor</t>
        </is>
      </c>
      <c r="F5" s="34" t="inlineStr">
        <is>
          <t>Unit Measure</t>
        </is>
      </c>
      <c r="G5" s="34" t="inlineStr">
        <is>
          <t>Good Spec ($)</t>
        </is>
      </c>
      <c r="H5" s="34" t="inlineStr">
        <is>
          <t>Better Spec ($)</t>
        </is>
      </c>
      <c r="I5" s="34" t="inlineStr">
        <is>
          <t>Best Spec ($)</t>
        </is>
      </c>
      <c r="J5" s="34" t="inlineStr">
        <is>
          <t>Labor Install Rate ($/Unit)</t>
        </is>
      </c>
      <c r="K5" s="34" t="inlineStr">
        <is>
          <t>Catalog Status</t>
        </is>
      </c>
    </row>
    <row r="6" ht="20" customHeight="1">
      <c r="B6" s="12" t="inlineStr">
        <is>
          <t>SKU-DEC-101</t>
        </is>
      </c>
      <c r="C6" s="21" t="inlineStr">
        <is>
          <t>Decluttering</t>
        </is>
      </c>
      <c r="D6" s="21" t="inlineStr">
        <is>
          <t>Professional Junk Removal &amp; 20-Yard Roll-off Dumpster</t>
        </is>
      </c>
      <c r="E6" s="21" t="inlineStr">
        <is>
          <t>1-800-Got-Junk / Local</t>
        </is>
      </c>
      <c r="F6" s="35" t="inlineStr">
        <is>
          <t>EA (Drop)</t>
        </is>
      </c>
      <c r="G6" s="23" t="n">
        <v>450</v>
      </c>
      <c r="H6" s="23" t="n">
        <v>650</v>
      </c>
      <c r="I6" s="23" t="n">
        <v>950</v>
      </c>
      <c r="J6" s="23" t="n">
        <v>300</v>
      </c>
      <c r="K6" s="13" t="inlineStr">
        <is>
          <t>ACTIVE</t>
        </is>
      </c>
    </row>
    <row r="7" ht="20" customHeight="1">
      <c r="B7" s="12" t="inlineStr">
        <is>
          <t>SKU-DEC-102</t>
        </is>
      </c>
      <c r="C7" s="21" t="inlineStr">
        <is>
          <t>Decluttering</t>
        </is>
      </c>
      <c r="D7" s="21" t="inlineStr">
        <is>
          <t>Professional Staging Preparation, Deep Clean &amp; Window Polish</t>
        </is>
      </c>
      <c r="E7" s="21" t="inlineStr">
        <is>
          <t>Commercial Clean Pro</t>
        </is>
      </c>
      <c r="F7" s="35" t="inlineStr">
        <is>
          <t>SF</t>
        </is>
      </c>
      <c r="G7" s="23" t="n">
        <v>0.35</v>
      </c>
      <c r="H7" s="23" t="n">
        <v>0.55</v>
      </c>
      <c r="I7" s="23" t="n">
        <v>0.85</v>
      </c>
      <c r="J7" s="23" t="n">
        <v>0.2</v>
      </c>
      <c r="K7" s="13" t="inlineStr">
        <is>
          <t>ACTIVE</t>
        </is>
      </c>
    </row>
    <row r="8" ht="20" customHeight="1">
      <c r="B8" s="12" t="inlineStr">
        <is>
          <t>SKU-PNT-201</t>
        </is>
      </c>
      <c r="C8" s="21" t="inlineStr">
        <is>
          <t>Paint</t>
        </is>
      </c>
      <c r="D8" s="21" t="inlineStr">
        <is>
          <t>Interior Wall Paint (Sherwin Williams / Behr Premium)</t>
        </is>
      </c>
      <c r="E8" s="21" t="inlineStr">
        <is>
          <t>Home Depot Pro</t>
        </is>
      </c>
      <c r="F8" s="35" t="inlineStr">
        <is>
          <t>SF (Floor)</t>
        </is>
      </c>
      <c r="G8" s="23" t="n">
        <v>1.2</v>
      </c>
      <c r="H8" s="23" t="n">
        <v>1.65</v>
      </c>
      <c r="I8" s="23" t="n">
        <v>2.4</v>
      </c>
      <c r="J8" s="23" t="n">
        <v>1.5</v>
      </c>
      <c r="K8" s="13" t="inlineStr">
        <is>
          <t>ACTIVE</t>
        </is>
      </c>
    </row>
    <row r="9" ht="20" customHeight="1">
      <c r="B9" s="12" t="inlineStr">
        <is>
          <t>SKU-PNT-202</t>
        </is>
      </c>
      <c r="C9" s="21" t="inlineStr">
        <is>
          <t>Paint</t>
        </is>
      </c>
      <c r="D9" s="21" t="inlineStr">
        <is>
          <t>Trim, Baseboard, Door &amp; Ceiling Ultra-Pure White Enamel</t>
        </is>
      </c>
      <c r="E9" s="21" t="inlineStr">
        <is>
          <t>Sherwin Williams Comm</t>
        </is>
      </c>
      <c r="F9" s="35" t="inlineStr">
        <is>
          <t>SF (Floor)</t>
        </is>
      </c>
      <c r="G9" s="23" t="n">
        <v>0.6</v>
      </c>
      <c r="H9" s="23" t="n">
        <v>0.85</v>
      </c>
      <c r="I9" s="23" t="n">
        <v>1.25</v>
      </c>
      <c r="J9" s="23" t="n">
        <v>0.75</v>
      </c>
      <c r="K9" s="13" t="inlineStr">
        <is>
          <t>ACTIVE</t>
        </is>
      </c>
    </row>
    <row r="10" ht="20" customHeight="1">
      <c r="B10" s="12" t="inlineStr">
        <is>
          <t>SKU-FLR-301</t>
        </is>
      </c>
      <c r="C10" s="21" t="inlineStr">
        <is>
          <t>Flooring</t>
        </is>
      </c>
      <c r="D10" s="21" t="inlineStr">
        <is>
          <t>Rigid Core Waterproof Luxury Vinyl Plank (LVP - 20mil Wear)</t>
        </is>
      </c>
      <c r="E10" s="21" t="inlineStr">
        <is>
          <t>Floor &amp; Decor</t>
        </is>
      </c>
      <c r="F10" s="35" t="inlineStr">
        <is>
          <t>SF</t>
        </is>
      </c>
      <c r="G10" s="23" t="n">
        <v>2.29</v>
      </c>
      <c r="H10" s="23" t="n">
        <v>3.49</v>
      </c>
      <c r="I10" s="23" t="n">
        <v>4.99</v>
      </c>
      <c r="J10" s="23" t="n">
        <v>2.25</v>
      </c>
      <c r="K10" s="13" t="inlineStr">
        <is>
          <t>ACTIVE</t>
        </is>
      </c>
    </row>
    <row r="11" ht="20" customHeight="1">
      <c r="B11" s="12" t="inlineStr">
        <is>
          <t>SKU-FLR-302</t>
        </is>
      </c>
      <c r="C11" s="21" t="inlineStr">
        <is>
          <t>Flooring</t>
        </is>
      </c>
      <c r="D11" s="21" t="inlineStr">
        <is>
          <t>Engineered European White Oak Hardwood Flooring</t>
        </is>
      </c>
      <c r="E11" s="21" t="inlineStr">
        <is>
          <t>Floor &amp; Decor Pro</t>
        </is>
      </c>
      <c r="F11" s="35" t="inlineStr">
        <is>
          <t>SF</t>
        </is>
      </c>
      <c r="G11" s="23" t="n">
        <v>3.99</v>
      </c>
      <c r="H11" s="23" t="n">
        <v>5.89</v>
      </c>
      <c r="I11" s="23" t="n">
        <v>8.99</v>
      </c>
      <c r="J11" s="23" t="n">
        <v>3.5</v>
      </c>
      <c r="K11" s="13" t="inlineStr">
        <is>
          <t>ACTIVE</t>
        </is>
      </c>
    </row>
    <row r="12" ht="20" customHeight="1">
      <c r="B12" s="12" t="inlineStr">
        <is>
          <t>SKU-FLR-303</t>
        </is>
      </c>
      <c r="C12" s="21" t="inlineStr">
        <is>
          <t>Flooring</t>
        </is>
      </c>
      <c r="D12" s="21" t="inlineStr">
        <is>
          <t>Premium Stain-Resistant Carpet &amp; 8lb Memory Foam Pad</t>
        </is>
      </c>
      <c r="E12" s="21" t="inlineStr">
        <is>
          <t>Home Depot Comm</t>
        </is>
      </c>
      <c r="F12" s="35" t="inlineStr">
        <is>
          <t>SF</t>
        </is>
      </c>
      <c r="G12" s="23" t="n">
        <v>1.85</v>
      </c>
      <c r="H12" s="23" t="n">
        <v>2.75</v>
      </c>
      <c r="I12" s="23" t="n">
        <v>4.1</v>
      </c>
      <c r="J12" s="23" t="n">
        <v>1.15</v>
      </c>
      <c r="K12" s="13" t="inlineStr">
        <is>
          <t>ACTIVE</t>
        </is>
      </c>
    </row>
    <row r="13" ht="20" customHeight="1">
      <c r="B13" s="12" t="inlineStr">
        <is>
          <t>SKU-HRD-401</t>
        </is>
      </c>
      <c r="C13" s="21" t="inlineStr">
        <is>
          <t>Hardware</t>
        </is>
      </c>
      <c r="D13" s="21" t="inlineStr">
        <is>
          <t>Modern Matte Black / Brushed Gold Cabinet Pulls (30-Pack)</t>
        </is>
      </c>
      <c r="E13" s="21" t="inlineStr">
        <is>
          <t>Amazon Business</t>
        </is>
      </c>
      <c r="F13" s="35" t="inlineStr">
        <is>
          <t>Set (Kitchen)</t>
        </is>
      </c>
      <c r="G13" s="23" t="n">
        <v>65</v>
      </c>
      <c r="H13" s="23" t="n">
        <v>120</v>
      </c>
      <c r="I13" s="23" t="n">
        <v>220</v>
      </c>
      <c r="J13" s="23" t="n">
        <v>150</v>
      </c>
      <c r="K13" s="13" t="inlineStr">
        <is>
          <t>ACTIVE</t>
        </is>
      </c>
    </row>
    <row r="14" ht="20" customHeight="1">
      <c r="B14" s="12" t="inlineStr">
        <is>
          <t>SKU-HRD-402</t>
        </is>
      </c>
      <c r="C14" s="21" t="inlineStr">
        <is>
          <t>Hardware</t>
        </is>
      </c>
      <c r="D14" s="21" t="inlineStr">
        <is>
          <t>Contemporary High-Arc Pull-Down Commercial Kitchen Faucet</t>
        </is>
      </c>
      <c r="E14" s="21" t="inlineStr">
        <is>
          <t>Home Depot Pro</t>
        </is>
      </c>
      <c r="F14" s="35" t="inlineStr">
        <is>
          <t>EA</t>
        </is>
      </c>
      <c r="G14" s="23" t="n">
        <v>119</v>
      </c>
      <c r="H14" s="23" t="n">
        <v>229</v>
      </c>
      <c r="I14" s="23" t="n">
        <v>399</v>
      </c>
      <c r="J14" s="23" t="n">
        <v>175</v>
      </c>
      <c r="K14" s="13" t="inlineStr">
        <is>
          <t>ACTIVE</t>
        </is>
      </c>
    </row>
    <row r="15" ht="20" customHeight="1">
      <c r="B15" s="12" t="inlineStr">
        <is>
          <t>SKU-HRD-403</t>
        </is>
      </c>
      <c r="C15" s="21" t="inlineStr">
        <is>
          <t>Hardware</t>
        </is>
      </c>
      <c r="D15" s="21" t="inlineStr">
        <is>
          <t>Single-Hole Matte Black Bathroom Faucets &amp; Pop-Up Drains</t>
        </is>
      </c>
      <c r="E15" s="21" t="inlineStr">
        <is>
          <t>Amazon Commercial</t>
        </is>
      </c>
      <c r="F15" s="35" t="inlineStr">
        <is>
          <t>EA</t>
        </is>
      </c>
      <c r="G15" s="23" t="n">
        <v>59</v>
      </c>
      <c r="H15" s="23" t="n">
        <v>115</v>
      </c>
      <c r="I15" s="23" t="n">
        <v>210</v>
      </c>
      <c r="J15" s="23" t="n">
        <v>120</v>
      </c>
      <c r="K15" s="13" t="inlineStr">
        <is>
          <t>ACTIVE</t>
        </is>
      </c>
    </row>
    <row r="16" ht="20" customHeight="1">
      <c r="B16" s="12" t="inlineStr">
        <is>
          <t>SKU-HRD-404</t>
        </is>
      </c>
      <c r="C16" s="21" t="inlineStr">
        <is>
          <t>Hardware</t>
        </is>
      </c>
      <c r="D16" s="21" t="inlineStr">
        <is>
          <t>Modern Interior Door Lever Handles &amp; Privacy Latches</t>
        </is>
      </c>
      <c r="E16" s="21" t="inlineStr">
        <is>
          <t>Home Depot Pro</t>
        </is>
      </c>
      <c r="F16" s="35" t="inlineStr">
        <is>
          <t>EA (Door)</t>
        </is>
      </c>
      <c r="G16" s="23" t="n">
        <v>18.5</v>
      </c>
      <c r="H16" s="23" t="n">
        <v>32</v>
      </c>
      <c r="I16" s="23" t="n">
        <v>58</v>
      </c>
      <c r="J16" s="23" t="n">
        <v>25</v>
      </c>
      <c r="K16" s="13" t="inlineStr">
        <is>
          <t>ACTIVE</t>
        </is>
      </c>
    </row>
    <row r="17" ht="20" customHeight="1">
      <c r="B17" s="12" t="inlineStr">
        <is>
          <t>SKU-LGT-501</t>
        </is>
      </c>
      <c r="C17" s="21" t="inlineStr">
        <is>
          <t>Lighting</t>
        </is>
      </c>
      <c r="D17" s="21" t="inlineStr">
        <is>
          <t>Ultra-Thin Dimmable 6-Inch Canless LED Recessed Lights (Pack of 12)</t>
        </is>
      </c>
      <c r="E17" s="21" t="inlineStr">
        <is>
          <t>Amazon Business</t>
        </is>
      </c>
      <c r="F17" s="35" t="inlineStr">
        <is>
          <t>Pack</t>
        </is>
      </c>
      <c r="G17" s="23" t="n">
        <v>110</v>
      </c>
      <c r="H17" s="23" t="n">
        <v>185</v>
      </c>
      <c r="I17" s="23" t="n">
        <v>295</v>
      </c>
      <c r="J17" s="23" t="n">
        <v>180</v>
      </c>
      <c r="K17" s="13" t="inlineStr">
        <is>
          <t>ACTIVE</t>
        </is>
      </c>
    </row>
    <row r="18" ht="20" customHeight="1">
      <c r="B18" s="12" t="inlineStr">
        <is>
          <t>SKU-LGT-502</t>
        </is>
      </c>
      <c r="C18" s="21" t="inlineStr">
        <is>
          <t>Lighting</t>
        </is>
      </c>
      <c r="D18" s="21" t="inlineStr">
        <is>
          <t>Modern Architectural Dining Chandelier &amp; Kitchen Island Pendants</t>
        </is>
      </c>
      <c r="E18" s="21" t="inlineStr">
        <is>
          <t>Wayfair / HD Comm</t>
        </is>
      </c>
      <c r="F18" s="35" t="inlineStr">
        <is>
          <t>Set</t>
        </is>
      </c>
      <c r="G18" s="23" t="n">
        <v>140</v>
      </c>
      <c r="H18" s="23" t="n">
        <v>290</v>
      </c>
      <c r="I18" s="23" t="n">
        <v>580</v>
      </c>
      <c r="J18" s="23" t="n">
        <v>220</v>
      </c>
      <c r="K18" s="13" t="inlineStr">
        <is>
          <t>ACTIVE</t>
        </is>
      </c>
    </row>
    <row r="19" ht="20" customHeight="1">
      <c r="B19" s="12" t="inlineStr">
        <is>
          <t>SKU-LGT-503</t>
        </is>
      </c>
      <c r="C19" s="21" t="inlineStr">
        <is>
          <t>Lighting</t>
        </is>
      </c>
      <c r="D19" s="21" t="inlineStr">
        <is>
          <t>Contemporary Vanity 3-Light Bath Sconces (Brushed Gold/Black)</t>
        </is>
      </c>
      <c r="E19" s="21" t="inlineStr">
        <is>
          <t>Home Depot Pro</t>
        </is>
      </c>
      <c r="F19" s="35" t="inlineStr">
        <is>
          <t>EA</t>
        </is>
      </c>
      <c r="G19" s="23" t="n">
        <v>65</v>
      </c>
      <c r="H19" s="23" t="n">
        <v>135</v>
      </c>
      <c r="I19" s="23" t="n">
        <v>245</v>
      </c>
      <c r="J19" s="23" t="n">
        <v>110</v>
      </c>
      <c r="K19" s="13" t="inlineStr">
        <is>
          <t>ACTIVE</t>
        </is>
      </c>
    </row>
    <row r="20" ht="20" customHeight="1">
      <c r="B20" s="12" t="inlineStr">
        <is>
          <t>SKU-LGT-504</t>
        </is>
      </c>
      <c r="C20" s="21" t="inlineStr">
        <is>
          <t>Lighting</t>
        </is>
      </c>
      <c r="D20" s="21" t="inlineStr">
        <is>
          <t>Smart Wi-Fi Rocker Light Switches &amp; Decora Wall Plates</t>
        </is>
      </c>
      <c r="E20" s="21" t="inlineStr">
        <is>
          <t>Lutron / Amazon</t>
        </is>
      </c>
      <c r="F20" s="35" t="inlineStr">
        <is>
          <t>Set (Whole)</t>
        </is>
      </c>
      <c r="G20" s="23" t="n">
        <v>85</v>
      </c>
      <c r="H20" s="23" t="n">
        <v>175</v>
      </c>
      <c r="I20" s="23" t="n">
        <v>320</v>
      </c>
      <c r="J20" s="23" t="n">
        <v>140</v>
      </c>
      <c r="K20" s="13" t="inlineStr">
        <is>
          <t>ACTIVE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59"/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26" customWidth="1" min="4" max="4"/>
    <col width="45" customWidth="1" min="5" max="5"/>
    <col width="45" customWidth="1" min="6" max="6"/>
    <col width="26" customWidth="1" min="7" max="7"/>
    <col width="14" customWidth="1" min="8" max="8"/>
    <col width="14" customWidth="1" min="9" max="9"/>
  </cols>
  <sheetData>
    <row r="1" ht="30" customHeight="1">
      <c r="A1" s="1" t="inlineStr">
        <is>
          <t xml:space="preserve">  PARAMETRIC RULES &amp; REGIONAL TIER MULTIPLIERS (ENGINE LOGIC)</t>
        </is>
      </c>
    </row>
    <row r="2" ht="20" customHeight="1">
      <c r="A2" s="2" t="inlineStr">
        <is>
          <t xml:space="preserve">  Centralized Formula Logic: Greater D.C. Submarket Multipliers, Speed Zones &amp; ROI Benchmark Multiples</t>
        </is>
      </c>
    </row>
    <row r="3"/>
    <row r="4"/>
    <row r="5" ht="24" customHeight="1">
      <c r="B5" s="3" t="inlineStr">
        <is>
          <t xml:space="preserve">  1. GREATER D.C. SUBMARKET MATRIX &amp; REGIONAL MULTIPLIERS</t>
        </is>
      </c>
    </row>
    <row r="6" ht="24" customHeight="1">
      <c r="B6" s="20" t="inlineStr">
        <is>
          <t>Target ZIP Code</t>
        </is>
      </c>
      <c r="C6" s="20" t="inlineStr">
        <is>
          <t>Submarket / Neighborhood</t>
        </is>
      </c>
      <c r="D6" s="20" t="inlineStr">
        <is>
          <t>State / Jurisdiction</t>
        </is>
      </c>
      <c r="E6" s="20" t="inlineStr">
        <is>
          <t>Labor &amp; Market Multiplier</t>
        </is>
      </c>
      <c r="F6" s="20" t="inlineStr">
        <is>
          <t>Historical MDOM (Days)</t>
        </is>
      </c>
      <c r="G6" s="20" t="inlineStr">
        <is>
          <t>Operational Speed Zone</t>
        </is>
      </c>
    </row>
    <row r="7" ht="20" customHeight="1">
      <c r="B7" s="12" t="inlineStr">
        <is>
          <t>20001</t>
        </is>
      </c>
      <c r="C7" s="21" t="inlineStr">
        <is>
          <t>Shaw / Logan Circle / Mt Vernon</t>
        </is>
      </c>
      <c r="D7" s="21" t="inlineStr">
        <is>
          <t>Washington, D.C.</t>
        </is>
      </c>
      <c r="E7" s="25" t="n">
        <v>1.25</v>
      </c>
      <c r="F7" s="36" t="n">
        <v>12</v>
      </c>
      <c r="G7" s="13" t="inlineStr">
        <is>
          <t>Alpha Zone (Ultra-Fast)</t>
        </is>
      </c>
    </row>
    <row r="8" ht="20" customHeight="1">
      <c r="B8" s="12" t="inlineStr">
        <is>
          <t>20007</t>
        </is>
      </c>
      <c r="C8" s="21" t="inlineStr">
        <is>
          <t>Georgetown / Glover Park</t>
        </is>
      </c>
      <c r="D8" s="21" t="inlineStr">
        <is>
          <t>Washington, D.C.</t>
        </is>
      </c>
      <c r="E8" s="25" t="n">
        <v>1.45</v>
      </c>
      <c r="F8" s="36" t="n">
        <v>11</v>
      </c>
      <c r="G8" s="13" t="inlineStr">
        <is>
          <t>Alpha Zone (Ultra-Fast)</t>
        </is>
      </c>
    </row>
    <row r="9" ht="20" customHeight="1">
      <c r="B9" s="12" t="inlineStr">
        <is>
          <t>20002</t>
        </is>
      </c>
      <c r="C9" s="21" t="inlineStr">
        <is>
          <t>Capitol Hill / H-Street Corridor</t>
        </is>
      </c>
      <c r="D9" s="21" t="inlineStr">
        <is>
          <t>Washington, D.C.</t>
        </is>
      </c>
      <c r="E9" s="25" t="n">
        <v>1.2</v>
      </c>
      <c r="F9" s="36" t="n">
        <v>15</v>
      </c>
      <c r="G9" s="37" t="inlineStr">
        <is>
          <t>Beta Zone (Standard)</t>
        </is>
      </c>
    </row>
    <row r="10" ht="20" customHeight="1">
      <c r="B10" s="12" t="inlineStr">
        <is>
          <t>20009</t>
        </is>
      </c>
      <c r="C10" s="21" t="inlineStr">
        <is>
          <t>Dupont Circle / Adams Morgan</t>
        </is>
      </c>
      <c r="D10" s="21" t="inlineStr">
        <is>
          <t>Washington, D.C.</t>
        </is>
      </c>
      <c r="E10" s="25" t="n">
        <v>1.35</v>
      </c>
      <c r="F10" s="36" t="n">
        <v>13</v>
      </c>
      <c r="G10" s="13" t="inlineStr">
        <is>
          <t>Alpha Zone (Ultra-Fast)</t>
        </is>
      </c>
    </row>
    <row r="11" ht="20" customHeight="1">
      <c r="B11" s="12" t="inlineStr">
        <is>
          <t>20016</t>
        </is>
      </c>
      <c r="C11" s="21" t="inlineStr">
        <is>
          <t>Tenleytown / AU Park / Spring Valley</t>
        </is>
      </c>
      <c r="D11" s="21" t="inlineStr">
        <is>
          <t>Washington, D.C.</t>
        </is>
      </c>
      <c r="E11" s="25" t="n">
        <v>1.4</v>
      </c>
      <c r="F11" s="36" t="n">
        <v>14</v>
      </c>
      <c r="G11" s="13" t="inlineStr">
        <is>
          <t>Alpha Zone (Ultra-Fast)</t>
        </is>
      </c>
    </row>
    <row r="12" ht="20" customHeight="1">
      <c r="B12" s="12" t="inlineStr">
        <is>
          <t>22201</t>
        </is>
      </c>
      <c r="C12" s="21" t="inlineStr">
        <is>
          <t>Clarendon / Courthouse / Rosslyn</t>
        </is>
      </c>
      <c r="D12" s="21" t="inlineStr">
        <is>
          <t>Arlington, VA</t>
        </is>
      </c>
      <c r="E12" s="25" t="n">
        <v>1.3</v>
      </c>
      <c r="F12" s="36" t="n">
        <v>9</v>
      </c>
      <c r="G12" s="13" t="inlineStr">
        <is>
          <t>Alpha Zone (Ultra-Fast)</t>
        </is>
      </c>
    </row>
    <row r="13" ht="20" customHeight="1">
      <c r="B13" s="12" t="inlineStr">
        <is>
          <t>22207</t>
        </is>
      </c>
      <c r="C13" s="21" t="inlineStr">
        <is>
          <t>North Arlington / Country Club</t>
        </is>
      </c>
      <c r="D13" s="21" t="inlineStr">
        <is>
          <t>Arlington, VA</t>
        </is>
      </c>
      <c r="E13" s="25" t="n">
        <v>1.45</v>
      </c>
      <c r="F13" s="36" t="n">
        <v>10</v>
      </c>
      <c r="G13" s="13" t="inlineStr">
        <is>
          <t>Alpha Zone (Ultra-Fast)</t>
        </is>
      </c>
    </row>
    <row r="14" ht="20" customHeight="1">
      <c r="B14" s="12" t="inlineStr">
        <is>
          <t>22314</t>
        </is>
      </c>
      <c r="C14" s="21" t="inlineStr">
        <is>
          <t>Old Town Alexandria</t>
        </is>
      </c>
      <c r="D14" s="21" t="inlineStr">
        <is>
          <t>Alexandria, VA</t>
        </is>
      </c>
      <c r="E14" s="25" t="n">
        <v>1.28</v>
      </c>
      <c r="F14" s="36" t="n">
        <v>16</v>
      </c>
      <c r="G14" s="37" t="inlineStr">
        <is>
          <t>Beta Zone (Standard)</t>
        </is>
      </c>
    </row>
    <row r="15" ht="20" customHeight="1">
      <c r="B15" s="12" t="inlineStr">
        <is>
          <t>22101</t>
        </is>
      </c>
      <c r="C15" s="21" t="inlineStr">
        <is>
          <t>McLean / Salona Village</t>
        </is>
      </c>
      <c r="D15" s="21" t="inlineStr">
        <is>
          <t>Fairfax County, VA</t>
        </is>
      </c>
      <c r="E15" s="25" t="n">
        <v>1.55</v>
      </c>
      <c r="F15" s="36" t="n">
        <v>12</v>
      </c>
      <c r="G15" s="13" t="inlineStr">
        <is>
          <t>Alpha Zone (Ultra-Fast)</t>
        </is>
      </c>
    </row>
    <row r="16" ht="20" customHeight="1">
      <c r="B16" s="12" t="inlineStr">
        <is>
          <t>22182</t>
        </is>
      </c>
      <c r="C16" s="21" t="inlineStr">
        <is>
          <t>Vienna / Tysons Corner</t>
        </is>
      </c>
      <c r="D16" s="21" t="inlineStr">
        <is>
          <t>Fairfax County, VA</t>
        </is>
      </c>
      <c r="E16" s="25" t="n">
        <v>1.25</v>
      </c>
      <c r="F16" s="36" t="n">
        <v>14</v>
      </c>
      <c r="G16" s="13" t="inlineStr">
        <is>
          <t>Alpha Zone (Ultra-Fast)</t>
        </is>
      </c>
    </row>
    <row r="17" ht="20" customHeight="1">
      <c r="B17" s="12" t="inlineStr">
        <is>
          <t>20190</t>
        </is>
      </c>
      <c r="C17" s="21" t="inlineStr">
        <is>
          <t>Reston Town Center / Dulles Corridor</t>
        </is>
      </c>
      <c r="D17" s="21" t="inlineStr">
        <is>
          <t>Fairfax County, VA</t>
        </is>
      </c>
      <c r="E17" s="25" t="n">
        <v>1.15</v>
      </c>
      <c r="F17" s="36" t="n">
        <v>22</v>
      </c>
      <c r="G17" s="37" t="inlineStr">
        <is>
          <t>Beta Zone (Standard)</t>
        </is>
      </c>
    </row>
    <row r="18" ht="20" customHeight="1">
      <c r="B18" s="12" t="inlineStr">
        <is>
          <t>20814</t>
        </is>
      </c>
      <c r="C18" s="21" t="inlineStr">
        <is>
          <t>Bethesda / Downtown Arts District</t>
        </is>
      </c>
      <c r="D18" s="21" t="inlineStr">
        <is>
          <t>Montgomery Co, MD</t>
        </is>
      </c>
      <c r="E18" s="25" t="n">
        <v>1.4</v>
      </c>
      <c r="F18" s="36" t="n">
        <v>11</v>
      </c>
      <c r="G18" s="13" t="inlineStr">
        <is>
          <t>Alpha Zone (Ultra-Fast)</t>
        </is>
      </c>
    </row>
    <row r="19" ht="20" customHeight="1">
      <c r="B19" s="12" t="inlineStr">
        <is>
          <t>20815</t>
        </is>
      </c>
      <c r="C19" s="21" t="inlineStr">
        <is>
          <t>Chevy Chase Village</t>
        </is>
      </c>
      <c r="D19" s="21" t="inlineStr">
        <is>
          <t>Montgomery Co, MD</t>
        </is>
      </c>
      <c r="E19" s="25" t="n">
        <v>1.5</v>
      </c>
      <c r="F19" s="36" t="n">
        <v>8</v>
      </c>
      <c r="G19" s="13" t="inlineStr">
        <is>
          <t>Alpha Zone (Ultra-Fast)</t>
        </is>
      </c>
    </row>
    <row r="20" ht="20" customHeight="1">
      <c r="B20" s="12" t="inlineStr">
        <is>
          <t>20910</t>
        </is>
      </c>
      <c r="C20" s="21" t="inlineStr">
        <is>
          <t>Silver Spring / Woodside</t>
        </is>
      </c>
      <c r="D20" s="21" t="inlineStr">
        <is>
          <t>Montgomery Co, MD</t>
        </is>
      </c>
      <c r="E20" s="25" t="n">
        <v>1.12</v>
      </c>
      <c r="F20" s="36" t="n">
        <v>24</v>
      </c>
      <c r="G20" s="37" t="inlineStr">
        <is>
          <t>Beta Zone (Standard)</t>
        </is>
      </c>
    </row>
    <row r="21" ht="20" customHeight="1">
      <c r="B21" s="12" t="inlineStr">
        <is>
          <t>20850</t>
        </is>
      </c>
      <c r="C21" s="21" t="inlineStr">
        <is>
          <t>Rockville Town Square</t>
        </is>
      </c>
      <c r="D21" s="21" t="inlineStr">
        <is>
          <t>Montgomery Co, MD</t>
        </is>
      </c>
      <c r="E21" s="25" t="n">
        <v>1.1</v>
      </c>
      <c r="F21" s="36" t="n">
        <v>27</v>
      </c>
      <c r="G21" s="37" t="inlineStr">
        <is>
          <t>Beta Zone (Standard)</t>
        </is>
      </c>
    </row>
    <row r="22" ht="20" customHeight="1">
      <c r="B22" s="12" t="inlineStr">
        <is>
          <t>20782</t>
        </is>
      </c>
      <c r="C22" s="21" t="inlineStr">
        <is>
          <t>Hyattsville / Gateway Arts</t>
        </is>
      </c>
      <c r="D22" s="21" t="inlineStr">
        <is>
          <t>Prince George's, MD</t>
        </is>
      </c>
      <c r="E22" s="25" t="n">
        <v>1</v>
      </c>
      <c r="F22" s="36" t="n">
        <v>38</v>
      </c>
      <c r="G22" s="38" t="inlineStr">
        <is>
          <t>Gamma Zone (Extended)</t>
        </is>
      </c>
    </row>
    <row r="23"/>
    <row r="24"/>
    <row r="25" ht="24" customHeight="1">
      <c r="B25" s="3" t="inlineStr">
        <is>
          <t xml:space="preserve">  2. ASSET SPECIFICATION TIERS &amp; GRADE MULTIPLIERS</t>
        </is>
      </c>
    </row>
    <row r="26" ht="24" customHeight="1">
      <c r="B26" s="20" t="inlineStr">
        <is>
          <t>Asset Tier Code</t>
        </is>
      </c>
      <c r="C26" s="20" t="inlineStr">
        <is>
          <t>Asset Tier Description</t>
        </is>
      </c>
      <c r="D26" s="20" t="inlineStr">
        <is>
          <t>Price Band Benchmark</t>
        </is>
      </c>
      <c r="E26" s="20" t="inlineStr">
        <is>
          <t>Specification Grade</t>
        </is>
      </c>
      <c r="F26" s="20" t="inlineStr">
        <is>
          <t>Finish Tier Multiplier</t>
        </is>
      </c>
    </row>
    <row r="27" ht="20" customHeight="1">
      <c r="B27" s="12" t="inlineStr">
        <is>
          <t>Good</t>
        </is>
      </c>
      <c r="C27" s="21" t="inlineStr">
        <is>
          <t>Good (&lt; $500k Market Value)</t>
        </is>
      </c>
      <c r="D27" s="21" t="inlineStr">
        <is>
          <t>&lt; $500,000 USD</t>
        </is>
      </c>
      <c r="E27" s="21" t="inlineStr">
        <is>
          <t>Clean Rental / Entry Spec (LVP, Builder Fixtures)</t>
        </is>
      </c>
      <c r="F27" s="25" t="n">
        <v>1</v>
      </c>
    </row>
    <row r="28" ht="20" customHeight="1">
      <c r="B28" s="12" t="inlineStr">
        <is>
          <t>Better</t>
        </is>
      </c>
      <c r="C28" s="21" t="inlineStr">
        <is>
          <t>Better ($500k - $799k Market Value)</t>
        </is>
      </c>
      <c r="D28" s="21" t="inlineStr">
        <is>
          <t>$500,000 - $799,999 USD</t>
        </is>
      </c>
      <c r="E28" s="21" t="inlineStr">
        <is>
          <t>Move-In Retail Spec (Wide Plank LVP, Matte Black)</t>
        </is>
      </c>
      <c r="F28" s="25" t="n">
        <v>1.25</v>
      </c>
    </row>
    <row r="29" ht="20" customHeight="1">
      <c r="B29" s="12" t="inlineStr">
        <is>
          <t>Best</t>
        </is>
      </c>
      <c r="C29" s="21" t="inlineStr">
        <is>
          <t>Best ($800k+ Executive Portfolio)</t>
        </is>
      </c>
      <c r="D29" s="21" t="inlineStr">
        <is>
          <t>$800,000+ USD</t>
        </is>
      </c>
      <c r="E29" s="21" t="inlineStr">
        <is>
          <t>Luxury Turnkey Spec (Engineered Oak, Designer Brass)</t>
        </is>
      </c>
      <c r="F29" s="25" t="n">
        <v>1.6</v>
      </c>
    </row>
    <row r="30"/>
    <row r="31" ht="24" customHeight="1">
      <c r="B31" s="3" t="inlineStr">
        <is>
          <t xml:space="preserve">  3. 21-DAY COSMETIC VALUE-ADD &amp; VALUE-CREATION ROI BENCHMARKS</t>
        </is>
      </c>
    </row>
    <row r="32" ht="24" customHeight="1">
      <c r="B32" s="20" t="inlineStr">
        <is>
          <t>Scope Category ID</t>
        </is>
      </c>
      <c r="C32" s="20" t="inlineStr">
        <is>
          <t>Scope Category Name</t>
        </is>
      </c>
      <c r="D32" s="20" t="inlineStr">
        <is>
          <t>Execution Window</t>
        </is>
      </c>
      <c r="E32" s="20" t="inlineStr">
        <is>
          <t>Typical Value-Add Multiple</t>
        </is>
      </c>
      <c r="F32" s="20" t="inlineStr">
        <is>
          <t>Market Strategic Rationale</t>
        </is>
      </c>
    </row>
    <row r="33" ht="20" customHeight="1">
      <c r="B33" s="12" t="inlineStr">
        <is>
          <t>SCP-01</t>
        </is>
      </c>
      <c r="C33" s="21" t="inlineStr">
        <is>
          <t>Whole-Home Decluttering &amp; Staging Prep</t>
        </is>
      </c>
      <c r="D33" s="21" t="inlineStr">
        <is>
          <t>Days 1 - 4</t>
        </is>
      </c>
      <c r="E33" s="25" t="n">
        <v>2.15</v>
      </c>
      <c r="F33" s="39" t="inlineStr">
        <is>
          <t>Highest direct ROI: eliminates visual friction; expands perceived SF</t>
        </is>
      </c>
    </row>
    <row r="34" ht="20" customHeight="1">
      <c r="B34" s="12" t="inlineStr">
        <is>
          <t>SCP-02</t>
        </is>
      </c>
      <c r="C34" s="21" t="inlineStr">
        <is>
          <t>Interior Paint, Trim &amp; Drywall Refinish</t>
        </is>
      </c>
      <c r="D34" s="21" t="inlineStr">
        <is>
          <t>Days 5 - 10</t>
        </is>
      </c>
      <c r="E34" s="25" t="n">
        <v>1.95</v>
      </c>
      <c r="F34" s="39" t="inlineStr">
        <is>
          <t>Neutral SW Alabaster/Agreeable Gray creates modern airy appeal</t>
        </is>
      </c>
    </row>
    <row r="35" ht="20" customHeight="1">
      <c r="B35" s="12" t="inlineStr">
        <is>
          <t>SCP-03</t>
        </is>
      </c>
      <c r="C35" s="21" t="inlineStr">
        <is>
          <t>Flooring Modernization (LVP / Hardwood)</t>
        </is>
      </c>
      <c r="D35" s="21" t="inlineStr">
        <is>
          <t>Days 11 - 16</t>
        </is>
      </c>
      <c r="E35" s="25" t="n">
        <v>1.8</v>
      </c>
      <c r="F35" s="39" t="inlineStr">
        <is>
          <t>Removes dated carpet odor; unified continuous flooring visually doubles space</t>
        </is>
      </c>
    </row>
    <row r="36" ht="20" customHeight="1">
      <c r="B36" s="12" t="inlineStr">
        <is>
          <t>SCP-04</t>
        </is>
      </c>
      <c r="C36" s="21" t="inlineStr">
        <is>
          <t>Cabinet Hardware &amp; Modern Plumbing Fixtures</t>
        </is>
      </c>
      <c r="D36" s="21" t="inlineStr">
        <is>
          <t>Days 15 - 18</t>
        </is>
      </c>
      <c r="E36" s="25" t="n">
        <v>1.85</v>
      </c>
      <c r="F36" s="39" t="inlineStr">
        <is>
          <t>High-impact micro-refresh; elevates kitchens and baths at 1/10th remodel cost</t>
        </is>
      </c>
    </row>
    <row r="37" ht="20" customHeight="1">
      <c r="B37" s="12" t="inlineStr">
        <is>
          <t>SCP-05</t>
        </is>
      </c>
      <c r="C37" s="21" t="inlineStr">
        <is>
          <t>Designer LED Lighting &amp; Fixture Upgrade</t>
        </is>
      </c>
      <c r="D37" s="21" t="inlineStr">
        <is>
          <t>Days 18 - 21</t>
        </is>
      </c>
      <c r="E37" s="25" t="n">
        <v>1.9</v>
      </c>
      <c r="F37" s="39" t="inlineStr">
        <is>
          <t>Replaces 90s brass with 3000K warm LED lighting; photographs exceptionally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59"/>
  <mergeCells count="5">
    <mergeCell ref="A2:I2"/>
    <mergeCell ref="B5:G5"/>
    <mergeCell ref="B25:F25"/>
    <mergeCell ref="A1:I1"/>
    <mergeCell ref="B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2026-09-21T20:52:37Z</dcterms:created>
  <dcterms:modified xmlns:dcterms="http://purl.org/dc/terms/" xmlns:xsi="http://www.w3.org/2001/XMLSchema-instance" xsi:type="dcterms:W3CDTF">2026-09-21T20:52:38Z</dcterms:modified>
</cp:coreProperties>
</file>